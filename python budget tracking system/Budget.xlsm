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Default ContentType="application/vnd.openxmlformats-officedocument.vmlDrawing" Extension="v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pivotCacheRecords+xml" PartName="/xl/pivotCache/pivotCacheRecords1.xml"/>
  <Override ContentType="application/vnd.openxmlformats-officedocument.spreadsheetml.pivotCacheDefinition+xml" PartName="/xl/pivotCache/pivotCacheDefinition1.xml"/>
  <Override ContentType="application/vnd.openxmlformats-officedocument.spreadsheetml.pivotTable+xml" PartName="/xl/pivotTables/pivotTable1.xml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table+xml" PartName="/xl/tables/table3.xml"/>
  <Override ContentType="application/vnd.openxmlformats-officedocument.spreadsheetml.worksheet+xml" PartName="/xl/worksheets/sheet5.xml"/>
  <Override ContentType="application/vnd.openxmlformats-officedocument.drawing+xml" PartName="/xl/drawings/drawing4.xml"/>
  <Override ContentType="application/vnd.openxmlformats-officedocument.spreadsheetml.table+xml" PartName="/xl/tables/table4.xml"/>
  <Override ContentType="application/vnd.openxmlformats-officedocument.spreadsheetml.worksheet+xml" PartName="/xl/worksheets/sheet6.xml"/>
  <Override ContentType="application/vnd.openxmlformats-officedocument.drawing+xml" PartName="/xl/drawings/drawing5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worksheet+xml" PartName="/xl/worksheets/sheet7.xml"/>
  <Override ContentType="application/vnd.openxmlformats-officedocument.drawing+xml" PartName="/xl/drawings/drawing6.xml"/>
  <Override ContentType="application/vnd.openxmlformats-officedocument.spreadsheetml.table+xml" PartName="/xl/tables/table7.xml"/>
  <Override ContentType="application/vnd.openxmlformats-officedocument.spreadsheetml.worksheet+xml" PartName="/xl/worksheets/sheet8.xml"/>
  <Override ContentType="application/vnd.openxmlformats-officedocument.drawing+xml" PartName="/xl/drawings/drawing7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9.xml"/>
  <Override ContentType="application/vnd.openxmlformats-officedocument.drawing+xml" PartName="/xl/drawings/drawing8.xml"/>
  <Override ContentType="application/vnd.openxmlformats-officedocument.spreadsheetml.table+xml" PartName="/xl/tables/table10.xml"/>
  <Override ContentType="application/vnd.openxmlformats-officedocument.spreadsheetml.worksheet+xml" PartName="/xl/worksheets/sheet10.xml"/>
  <Override ContentType="application/vnd.openxmlformats-officedocument.drawing+xml" PartName="/xl/drawings/drawing9.xml"/>
  <Override ContentType="application/vnd.openxmlformats-officedocument.spreadsheetml.table+xml" PartName="/xl/tables/table11.xml"/>
  <Override ContentType="application/vnd.openxmlformats-officedocument.spreadsheetml.table+xml" PartName="/xl/tables/table12.xml"/>
  <Override ContentType="application/vnd.openxmlformats-officedocument.spreadsheetml.worksheet+xml" PartName="/xl/worksheets/sheet11.xml"/>
  <Override ContentType="application/vnd.openxmlformats-officedocument.drawing+xml" PartName="/xl/drawings/drawing10.xml"/>
  <Override ContentType="application/vnd.openxmlformats-officedocument.spreadsheetml.table+xml" PartName="/xl/tables/table13.xml"/>
  <Override ContentType="application/vnd.openxmlformats-officedocument.spreadsheetml.worksheet+xml" PartName="/xl/worksheets/sheet12.xml"/>
  <Override ContentType="application/vnd.openxmlformats-officedocument.drawing+xml" PartName="/xl/drawings/drawing11.xml"/>
  <Override ContentType="application/vnd.openxmlformats-officedocument.spreadsheetml.table+xml" PartName="/xl/tables/table14.xml"/>
  <Override ContentType="application/vnd.openxmlformats-officedocument.spreadsheetml.table+xml" PartName="/xl/tables/table15.xml"/>
  <Override ContentType="application/vnd.openxmlformats-officedocument.spreadsheetml.worksheet+xml" PartName="/xl/worksheets/sheet13.xml"/>
  <Override ContentType="application/vnd.openxmlformats-officedocument.drawing+xml" PartName="/xl/drawings/drawing12.xml"/>
  <Override ContentType="application/vnd.openxmlformats-officedocument.spreadsheetml.table+xml" PartName="/xl/tables/table16.xml"/>
  <Override ContentType="application/vnd.openxmlformats-officedocument.spreadsheetml.worksheet+xml" PartName="/xl/worksheets/sheet14.xml"/>
  <Override ContentType="application/vnd.openxmlformats-officedocument.drawing+xml" PartName="/xl/drawings/drawing13.xml"/>
  <Override ContentType="application/vnd.openxmlformats-officedocument.spreadsheetml.table+xml" PartName="/xl/tables/table17.xml"/>
  <Override ContentType="application/vnd.openxmlformats-officedocument.spreadsheetml.table+xml" PartName="/xl/tables/table18.xml"/>
  <Override ContentType="application/vnd.openxmlformats-officedocument.spreadsheetml.worksheet+xml" PartName="/xl/worksheets/sheet15.xml"/>
  <Override ContentType="application/vnd.openxmlformats-officedocument.drawing+xml" PartName="/xl/drawings/drawing14.xml"/>
  <Override ContentType="application/vnd.openxmlformats-officedocument.spreadsheetml.table+xml" PartName="/xl/tables/table19.xml"/>
  <Override ContentType="application/vnd.openxmlformats-officedocument.spreadsheetml.worksheet+xml" PartName="/xl/worksheets/sheet16.xml"/>
  <Override ContentType="application/vnd.openxmlformats-officedocument.drawing+xml" PartName="/xl/drawings/drawing15.xml"/>
  <Override ContentType="application/vnd.openxmlformats-officedocument.spreadsheetml.table+xml" PartName="/xl/tables/table20.xml"/>
  <Override ContentType="application/vnd.openxmlformats-officedocument.spreadsheetml.table+xml" PartName="/xl/tables/table21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16" autoFilterDateGrouping="1" firstSheet="6" minimized="0" showHorizontalScroll="1" showSheetTabs="1" showVerticalScroll="1" tabRatio="1000" visibility="visible" windowHeight="4545" windowWidth="15270" xWindow="0" yWindow="0"/>
  </bookViews>
  <sheets>
    <sheet name="All" sheetId="1" state="visible" r:id="rId1"/>
    <sheet name="AAUFinance" sheetId="2" state="visible" r:id="rId2"/>
    <sheet name="AAiTFinance" sheetId="3" state="visible" r:id="rId3"/>
    <sheet name="aaitReport" sheetId="4" state="visible" r:id="rId4"/>
    <sheet name="Biomedical" sheetId="5" state="visible" r:id="rId5"/>
    <sheet name="BiomedicalReport" sheetId="6" state="visible" r:id="rId6"/>
    <sheet name="ITSC" sheetId="7" state="visible" r:id="rId7"/>
    <sheet name="ITSCReport" sheetId="8" state="visible" r:id="rId8"/>
    <sheet name="Chemical" sheetId="9" state="visible" r:id="rId9"/>
    <sheet name="ChemicalReport" sheetId="10" state="visible" r:id="rId10"/>
    <sheet name="Civil" sheetId="11" state="visible" r:id="rId11"/>
    <sheet name="CivilReport" sheetId="12" state="visible" r:id="rId12"/>
    <sheet name="Electrical" sheetId="13" state="visible" r:id="rId13"/>
    <sheet name="ElectricalReport" sheetId="14" state="visible" r:id="rId14"/>
    <sheet name="Mechanical" sheetId="15" state="visible" r:id="rId15"/>
    <sheet name="MechanicalReport" sheetId="16" state="visible" r:id="rId16"/>
    <sheet name="Password" sheetId="17" state="visible" r:id="rId17"/>
    <sheet name="BudgetCode" sheetId="18" state="visible" r:id="rId18"/>
  </sheets>
  <definedNames/>
  <calcPr calcId="162913" fullCalcOnLoad="1"/>
  <pivotCaches>
    <pivotCache cacheId="0" r:id="rId19"/>
  </pivotCaches>
</workbook>
</file>

<file path=xl/styles.xml><?xml version="1.0" encoding="utf-8"?>
<styleSheet xmlns="http://schemas.openxmlformats.org/spreadsheetml/2006/main">
  <numFmts count="1">
    <numFmt formatCode="_-[$ETB-45E]* #,##0.00_-;\-[$ETB-45E]* #,##0.00_-;_-[$ETB-45E]* &quot;-&quot;??_-;_-@_-" numFmtId="164"/>
  </numFmts>
  <fonts count="12">
    <font>
      <name val="Calibri"/>
      <family val="2"/>
      <color theme="1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Times New Roman"/>
      <family val="1"/>
      <b val="1"/>
      <color theme="0"/>
      <sz val="12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4" tint="0.3999755851924192"/>
      <sz val="11"/>
      <scheme val="minor"/>
    </font>
    <font>
      <name val="Calibri"/>
      <family val="2"/>
      <color rgb="FF000000"/>
      <sz val="12"/>
      <scheme val="minor"/>
    </font>
  </fonts>
  <fills count="7">
    <fill>
      <patternFill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4" tint="0.5999938962981048"/>
      </right>
      <top style="thin">
        <color indexed="64"/>
      </top>
      <bottom style="thin">
        <color indexed="64"/>
      </bottom>
      <diagonal/>
    </border>
    <border>
      <left style="thin">
        <color theme="4" tint="0.599993896298104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5999938962981048"/>
      </top>
      <bottom style="thin">
        <color indexed="64"/>
      </bottom>
      <diagonal/>
    </border>
    <border>
      <left style="thin">
        <color theme="4" tint="0.5999938962981048"/>
      </left>
      <right style="thin">
        <color indexed="64"/>
      </right>
      <top style="thin">
        <color theme="4" tint="0.5999938962981048"/>
      </top>
      <bottom style="thin">
        <color indexed="64"/>
      </bottom>
      <diagonal/>
    </border>
    <border>
      <left/>
      <right/>
      <top style="thin">
        <color theme="4" tint="0.5999938962981048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5999938962981048"/>
      </top>
      <bottom style="thin">
        <color indexed="64"/>
      </bottom>
      <diagonal/>
    </border>
    <border>
      <left/>
      <right/>
      <top style="thin">
        <color theme="4" tint="0.5999938962981048"/>
      </top>
      <bottom/>
      <diagonal/>
    </border>
    <border>
      <left/>
      <right style="thin">
        <color indexed="64"/>
      </right>
      <top style="thin">
        <color theme="4" tint="0.5999938962981048"/>
      </top>
      <bottom/>
      <diagonal/>
    </border>
  </borders>
  <cellStyleXfs count="1">
    <xf borderId="0" fillId="0" fontId="0" numFmtId="0"/>
  </cellStyleXfs>
  <cellXfs count="88">
    <xf borderId="0" fillId="0" fontId="0" numFmtId="0" pivotButton="0" quotePrefix="0" xfId="0"/>
    <xf applyAlignment="1" borderId="1" fillId="0" fontId="0" numFmtId="0" pivotButton="0" quotePrefix="0" xfId="0">
      <alignment horizontal="center"/>
    </xf>
    <xf applyAlignment="1" borderId="0" fillId="0" fontId="0" numFmtId="0" pivotButton="0" quotePrefix="0" xfId="0">
      <alignment horizontal="left"/>
    </xf>
    <xf applyAlignment="1" borderId="0" fillId="0" fontId="0" numFmtId="0" pivotButton="0" quotePrefix="0" xfId="0">
      <alignment wrapText="1"/>
    </xf>
    <xf applyAlignment="1" borderId="0" fillId="0" fontId="0" numFmtId="0" pivotButton="0" quotePrefix="0" xfId="0">
      <alignment vertical="top"/>
    </xf>
    <xf applyAlignment="1" borderId="0" fillId="0" fontId="0" numFmtId="0" pivotButton="0" quotePrefix="0" xfId="0">
      <alignment vertical="top" wrapText="1"/>
    </xf>
    <xf applyAlignment="1" borderId="0" fillId="0" fontId="0" numFmtId="0" pivotButton="0" quotePrefix="0" xfId="0">
      <alignment horizontal="center" vertical="center"/>
    </xf>
    <xf applyAlignment="1" borderId="0" fillId="0" fontId="0" numFmtId="0" pivotButton="0" quotePrefix="0" xfId="0">
      <alignment horizontal="center"/>
    </xf>
    <xf applyAlignment="1" borderId="3" fillId="0" fontId="0" numFmtId="0" pivotButton="0" quotePrefix="0" xfId="0">
      <alignment horizontal="center"/>
    </xf>
    <xf applyAlignment="1" borderId="0" fillId="0" fontId="0" numFmtId="0" pivotButton="0" quotePrefix="0" xfId="0">
      <alignment vertical="center"/>
    </xf>
    <xf applyAlignment="1" borderId="9" fillId="0" fontId="0" numFmtId="0" pivotButton="0" quotePrefix="0" xfId="0">
      <alignment horizontal="left"/>
    </xf>
    <xf applyAlignment="1" borderId="10" fillId="0" fontId="0" numFmtId="0" pivotButton="0" quotePrefix="0" xfId="0">
      <alignment horizontal="center"/>
    </xf>
    <xf applyAlignment="1" borderId="5" fillId="0" fontId="0" numFmtId="0" pivotButton="0" quotePrefix="0" xfId="0">
      <alignment horizontal="left"/>
    </xf>
    <xf borderId="11" fillId="0" fontId="0" numFmtId="0" pivotButton="0" quotePrefix="0" xfId="0"/>
    <xf applyAlignment="1" borderId="7" fillId="0" fontId="0" numFmtId="0" pivotButton="0" quotePrefix="0" xfId="0">
      <alignment horizontal="left"/>
    </xf>
    <xf applyAlignment="1" borderId="10" fillId="0" fontId="0" numFmtId="0" pivotButton="0" quotePrefix="0" xfId="0">
      <alignment horizontal="center" vertical="center"/>
    </xf>
    <xf applyAlignment="1" borderId="9" fillId="0" fontId="0" numFmtId="0" pivotButton="0" quotePrefix="0" xfId="0">
      <alignment horizontal="center" vertical="center"/>
    </xf>
    <xf applyAlignment="1" borderId="9" fillId="0" fontId="0" numFmtId="0" pivotButton="0" quotePrefix="0" xfId="0">
      <alignment horizontal="center"/>
    </xf>
    <xf applyAlignment="1" borderId="8" fillId="0" fontId="0" numFmtId="0" pivotButton="0" quotePrefix="0" xfId="0">
      <alignment horizontal="center" vertical="center"/>
    </xf>
    <xf applyAlignment="1" borderId="7" fillId="0" fontId="0" numFmtId="0" pivotButton="0" quotePrefix="0" xfId="0">
      <alignment horizontal="center" vertical="center"/>
    </xf>
    <xf applyAlignment="1" borderId="6" fillId="0" fontId="0" numFmtId="0" pivotButton="0" quotePrefix="0" xfId="0">
      <alignment horizontal="center" vertical="center"/>
    </xf>
    <xf applyAlignment="1" borderId="5" fillId="0" fontId="0" numFmtId="0" pivotButton="0" quotePrefix="0" xfId="0">
      <alignment horizontal="center"/>
    </xf>
    <xf applyAlignment="1" borderId="10" fillId="0" fontId="0" numFmtId="0" pivotButton="0" quotePrefix="0" xfId="0">
      <alignment horizontal="left"/>
    </xf>
    <xf applyAlignment="1" borderId="6" fillId="0" fontId="0" numFmtId="0" pivotButton="0" quotePrefix="0" xfId="0">
      <alignment horizontal="left"/>
    </xf>
    <xf applyAlignment="1" borderId="5" fillId="0" fontId="0" numFmtId="0" pivotButton="0" quotePrefix="0" xfId="0">
      <alignment vertical="top" wrapText="1"/>
    </xf>
    <xf borderId="0" fillId="0" fontId="5" numFmtId="0" pivotButton="0" quotePrefix="0" xfId="0"/>
    <xf borderId="6" fillId="0" fontId="0" numFmtId="0" pivotButton="0" quotePrefix="0" xfId="0"/>
    <xf borderId="7" fillId="0" fontId="0" numFmtId="0" pivotButton="0" quotePrefix="0" xfId="0"/>
    <xf borderId="1" fillId="0" fontId="0" numFmtId="164" pivotButton="0" quotePrefix="0" xfId="0"/>
    <xf borderId="8" fillId="0" fontId="0" numFmtId="164" pivotButton="0" quotePrefix="0" xfId="0"/>
    <xf borderId="11" fillId="0" fontId="0" numFmtId="164" pivotButton="0" quotePrefix="0" xfId="0"/>
    <xf borderId="4" fillId="0" fontId="0" numFmtId="164" pivotButton="0" quotePrefix="0" xfId="0"/>
    <xf borderId="0" fillId="0" fontId="5" numFmtId="164" pivotButton="0" quotePrefix="0" xfId="0"/>
    <xf borderId="3" fillId="0" fontId="0" numFmtId="164" pivotButton="0" quotePrefix="0" xfId="0"/>
    <xf applyAlignment="1" borderId="1" fillId="0" fontId="0" numFmtId="164" pivotButton="0" quotePrefix="0" xfId="0">
      <alignment horizontal="left"/>
    </xf>
    <xf applyAlignment="1" borderId="11" fillId="0" fontId="0" numFmtId="164" pivotButton="0" quotePrefix="0" xfId="0">
      <alignment horizontal="left"/>
    </xf>
    <xf applyAlignment="1" borderId="8" fillId="0" fontId="0" numFmtId="164" pivotButton="0" quotePrefix="0" xfId="0">
      <alignment horizontal="left"/>
    </xf>
    <xf applyAlignment="1" borderId="4" fillId="0" fontId="0" numFmtId="164" pivotButton="0" quotePrefix="0" xfId="0">
      <alignment horizontal="left"/>
    </xf>
    <xf applyAlignment="1" borderId="11" fillId="0" fontId="0" numFmtId="164" pivotButton="0" quotePrefix="0" xfId="0">
      <alignment vertical="center"/>
    </xf>
    <xf applyAlignment="1" borderId="4" fillId="0" fontId="0" numFmtId="164" pivotButton="0" quotePrefix="0" xfId="0">
      <alignment vertical="center"/>
    </xf>
    <xf borderId="0" fillId="0" fontId="0" numFmtId="164" pivotButton="0" quotePrefix="0" xfId="0"/>
    <xf borderId="1" fillId="0" fontId="0" numFmtId="49" pivotButton="0" quotePrefix="0" xfId="0"/>
    <xf borderId="0" fillId="0" fontId="0" numFmtId="49" pivotButton="0" quotePrefix="0" xfId="0"/>
    <xf applyAlignment="1" borderId="0" fillId="0" fontId="0" numFmtId="49" pivotButton="0" quotePrefix="0" xfId="0">
      <alignment wrapText="1"/>
    </xf>
    <xf applyAlignment="1" borderId="0" fillId="0" fontId="0" numFmtId="49" pivotButton="0" quotePrefix="0" xfId="0">
      <alignment vertical="top" wrapText="1"/>
    </xf>
    <xf borderId="0" fillId="5" fontId="0" numFmtId="0" pivotButton="0" quotePrefix="0" xfId="0"/>
    <xf borderId="0" fillId="6" fontId="0" numFmtId="0" pivotButton="0" quotePrefix="0" xfId="0"/>
    <xf applyAlignment="1" borderId="0" fillId="5" fontId="7" numFmtId="0" pivotButton="0" quotePrefix="0" xfId="0">
      <alignment vertical="center"/>
    </xf>
    <xf borderId="0" fillId="5" fontId="8" numFmtId="0" pivotButton="0" quotePrefix="0" xfId="0"/>
    <xf applyAlignment="1" borderId="11" fillId="0" fontId="0" numFmtId="0" pivotButton="0" quotePrefix="0" xfId="0">
      <alignment vertical="center"/>
    </xf>
    <xf applyAlignment="1" borderId="1" fillId="0" fontId="0" numFmtId="0" pivotButton="0" quotePrefix="0" xfId="0">
      <alignment horizontal="left"/>
    </xf>
    <xf applyAlignment="1" borderId="11" fillId="0" fontId="0" numFmtId="0" pivotButton="0" quotePrefix="0" xfId="0">
      <alignment horizontal="left"/>
    </xf>
    <xf borderId="0" fillId="5" fontId="10" numFmtId="0" pivotButton="0" quotePrefix="0" xfId="0"/>
    <xf applyAlignment="1" borderId="0" fillId="5" fontId="0" numFmtId="0" pivotButton="0" quotePrefix="0" xfId="0">
      <alignment horizontal="center" vertical="center"/>
    </xf>
    <xf applyAlignment="1" borderId="12" fillId="3" fontId="6" numFmtId="0" pivotButton="0" quotePrefix="0" xfId="0">
      <alignment horizontal="center" vertical="center"/>
    </xf>
    <xf applyAlignment="1" borderId="13" fillId="3" fontId="6" numFmtId="0" pivotButton="0" quotePrefix="0" xfId="0">
      <alignment horizontal="center" vertical="center"/>
    </xf>
    <xf applyAlignment="1" borderId="14" fillId="0" fontId="0" numFmtId="0" pivotButton="0" quotePrefix="0" xfId="0">
      <alignment horizontal="center" vertical="center"/>
    </xf>
    <xf borderId="0" fillId="0" fontId="0" numFmtId="0" pivotButton="1" quotePrefix="0" xfId="0"/>
    <xf applyAlignment="1" borderId="11" fillId="0" fontId="0" numFmtId="49" pivotButton="0" quotePrefix="0" xfId="0">
      <alignment horizontal="left" vertical="center"/>
    </xf>
    <xf borderId="0" fillId="6" fontId="8" numFmtId="0" pivotButton="0" quotePrefix="0" xfId="0"/>
    <xf applyAlignment="1" borderId="0" fillId="0" fontId="0" numFmtId="0" pivotButton="0" quotePrefix="0" xfId="0">
      <alignment horizontal="center" vertical="top"/>
    </xf>
    <xf applyAlignment="1" borderId="0" fillId="0" fontId="0" numFmtId="49" pivotButton="0" quotePrefix="0" xfId="0">
      <alignment horizontal="center" vertical="top" wrapText="1"/>
    </xf>
    <xf applyAlignment="1" borderId="0" fillId="0" fontId="4" numFmtId="0" pivotButton="0" quotePrefix="0" xfId="0">
      <alignment vertical="center" wrapText="1"/>
    </xf>
    <xf applyAlignment="1" borderId="0" fillId="2" fontId="9" numFmtId="0" pivotButton="0" quotePrefix="0" xfId="0">
      <alignment horizontal="left"/>
    </xf>
    <xf borderId="0" fillId="2" fontId="9" numFmtId="0" pivotButton="0" quotePrefix="0" xfId="0"/>
    <xf applyAlignment="1" borderId="0" fillId="2" fontId="9" numFmtId="0" pivotButton="0" quotePrefix="0" xfId="0">
      <alignment horizontal="right"/>
    </xf>
    <xf borderId="0" fillId="0" fontId="0" numFmtId="0" pivotButton="0" quotePrefix="0" xfId="0"/>
    <xf borderId="1" fillId="0" fontId="0" numFmtId="0" pivotButton="0" quotePrefix="0" xfId="0"/>
    <xf applyAlignment="1" borderId="1" fillId="0" fontId="0" numFmtId="0" pivotButton="0" quotePrefix="0" xfId="0">
      <alignment horizontal="center" vertical="center"/>
    </xf>
    <xf applyAlignment="1" borderId="0" fillId="5" fontId="7" numFmtId="0" pivotButton="0" quotePrefix="0" xfId="0">
      <alignment horizontal="center" vertical="center"/>
    </xf>
    <xf borderId="0" fillId="0" fontId="0" numFmtId="0" pivotButton="0" quotePrefix="0" xfId="0"/>
    <xf applyAlignment="1" borderId="0" fillId="5" fontId="9" numFmtId="0" pivotButton="0" quotePrefix="0" xfId="0">
      <alignment horizontal="center"/>
    </xf>
    <xf applyAlignment="1" borderId="0" fillId="2" fontId="1" numFmtId="0" pivotButton="0" quotePrefix="0" xfId="0">
      <alignment horizontal="center" vertical="center"/>
    </xf>
    <xf applyAlignment="1" borderId="2" fillId="2" fontId="3" numFmtId="0" pivotButton="0" quotePrefix="0" xfId="0">
      <alignment horizontal="center" vertical="center"/>
    </xf>
    <xf borderId="2" fillId="0" fontId="0" numFmtId="0" pivotButton="0" quotePrefix="0" xfId="0"/>
    <xf applyAlignment="1" borderId="0" fillId="2" fontId="3" numFmtId="0" pivotButton="0" quotePrefix="0" xfId="0">
      <alignment horizontal="center" vertical="center"/>
    </xf>
    <xf applyAlignment="1" borderId="15" fillId="4" fontId="6" numFmtId="0" pivotButton="0" quotePrefix="0" xfId="0">
      <alignment horizontal="center" vertical="center"/>
    </xf>
    <xf borderId="16" fillId="0" fontId="0" numFmtId="0" pivotButton="0" quotePrefix="0" xfId="0"/>
    <xf borderId="17" fillId="0" fontId="0" numFmtId="0" pivotButton="0" quotePrefix="0" xfId="0"/>
    <xf applyAlignment="1" borderId="2" fillId="2" fontId="1" numFmtId="0" pivotButton="0" quotePrefix="0" xfId="0">
      <alignment horizontal="center" vertical="center"/>
    </xf>
    <xf applyAlignment="1" borderId="0" fillId="2" fontId="3" numFmtId="0" pivotButton="0" quotePrefix="0" xfId="0">
      <alignment horizontal="center" vertical="center" wrapText="1"/>
    </xf>
    <xf applyAlignment="1" borderId="2" fillId="2" fontId="3" numFmtId="0" pivotButton="0" quotePrefix="0" xfId="0">
      <alignment horizontal="center" vertical="center" wrapText="1"/>
    </xf>
    <xf applyAlignment="1" borderId="0" fillId="2" fontId="1" numFmtId="0" pivotButton="0" quotePrefix="0" xfId="0">
      <alignment horizontal="center" vertical="center" wrapText="1"/>
    </xf>
    <xf applyAlignment="1" borderId="2" fillId="2" fontId="1" numFmtId="0" pivotButton="0" quotePrefix="0" xfId="0">
      <alignment horizontal="center" vertical="center" wrapText="1"/>
    </xf>
    <xf borderId="1" fillId="0" fontId="0" numFmtId="0" pivotButton="0" quotePrefix="0" xfId="0"/>
    <xf borderId="9" fillId="0" fontId="0" numFmtId="0" pivotButton="0" quotePrefix="0" xfId="0"/>
    <xf applyAlignment="1" borderId="0" fillId="2" fontId="2" numFmtId="0" pivotButton="0" quotePrefix="0" xfId="0">
      <alignment horizontal="center" vertical="center"/>
    </xf>
    <xf applyAlignment="1" borderId="1" fillId="0" fontId="0" numFmtId="0" pivotButton="0" quotePrefix="0" xfId="0">
      <alignment horizontal="center" vertical="center"/>
    </xf>
  </cellXfs>
  <cellStyles count="1">
    <cellStyle builtinId="0" name="Normal" xfId="0"/>
  </cellStyles>
  <dxfs count="169">
    <dxf>
      <numFmt formatCode="_-[$ETB-45E]* #,##0.00_-;\-[$ETB-45E]* #,##0.00_-;_-[$ETB-45E]* &quot;-&quot;??_-;_-@_-" numFmtId="164"/>
    </dxf>
    <dxf>
      <numFmt formatCode="@" numFmtId="30"/>
    </dxf>
    <dxf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numFmt formatCode="@" numFmtId="30"/>
    </dxf>
    <dxf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@" numFmtId="30"/>
    </dxf>
    <dxf>
      <alignment horizontal="general" vertical="top"/>
    </dxf>
    <dxf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@" numFmtId="30"/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alignment horizontal="center" vertical="top"/>
    </dxf>
    <dxf>
      <numFmt formatCode="@" numFmtId="30"/>
      <alignment horizontal="center" vertical="top" wrapText="1"/>
    </dxf>
    <dxf>
      <alignment horizontal="center" vertical="top"/>
    </dxf>
    <dxf>
      <numFmt formatCode="General" numFmtId="0"/>
      <alignment horizontal="center" vertical="top"/>
    </dxf>
    <dxf>
      <alignment horizontal="center" vertical="top"/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</dxf>
    <dxf>
      <numFmt formatCode="@" numFmtId="30"/>
    </dxf>
    <dxf>
      <alignment horizontal="general" vertical="top"/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border outline="0">
        <left style="thin">
          <color indexed="64"/>
        </left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left" vertical="bottom"/>
      <border outline="0">
        <left/>
        <right style="thin">
          <color indexed="64"/>
        </right>
        <top style="thin">
          <color indexed="64"/>
        </top>
        <bottom/>
        <diagonal/>
      </border>
    </dxf>
    <dxf>
      <alignment horizontal="left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bottom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numFmt formatCode="General" numFmtId="0"/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numFmt formatCode="_-[$ETB-45E]* #,##0.00_-;\-[$ETB-45E]* #,##0.00_-;_-[$ETB-45E]* &quot;-&quot;??_-;_-@_-" numFmtId="164"/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left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alignment horizontal="left" vertical="bottom"/>
    </dxf>
    <dxf>
      <border outline="0">
        <left/>
        <right/>
        <top/>
        <bottom style="thin">
          <color indexed="64"/>
        </bottom>
        <diagonal/>
      </border>
    </dxf>
    <dxf>
      <alignment horizontal="left" vertical="bottom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alignment horizontal="general" vertical="center"/>
      <border>
        <left style="thin">
          <color indexed="64"/>
        </left>
        <right/>
        <top style="thin">
          <color indexed="64"/>
        </top>
        <bottom/>
        <diagonal/>
        <vertical/>
        <horizontal/>
      </border>
    </dxf>
    <dxf>
      <numFmt formatCode="_-[$ETB-45E]* #,##0.00_-;\-[$ETB-45E]* #,##0.00_-;_-[$ETB-45E]* &quot;-&quot;??_-;_-@_-" numFmtId="164"/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/>
        <diagonal/>
        <vertical/>
        <horizontal/>
      </border>
    </dxf>
    <dxf>
      <numFmt formatCode="_-[$ETB-45E]* #,##0.00_-;\-[$ETB-45E]* #,##0.00_-;_-[$ETB-45E]* &quot;-&quot;??_-;_-@_-" numFmtId="164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@" numFmtId="30"/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General" numFmtId="0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/>
        <diagonal/>
        <vertical/>
        <horizontal/>
      </border>
    </dxf>
    <dxf>
      <alignment horizontal="general" vertical="top" wrapText="1"/>
      <border>
        <left/>
        <right style="thin">
          <color indexed="64"/>
        </right>
        <top style="thin">
          <color indexed="64"/>
        </top>
        <bottom/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alignment horizontal="general" vertical="center"/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numFmt formatCode="0.00%" numFmtId="14"/>
    </dxf>
    <dxf>
      <numFmt formatCode="_-[$ETB-45E]* #,##0.00_-;\-[$ETB-45E]* #,##0.00_-;_-[$ETB-45E]* &quot;-&quot;??_-;_-@_-" numFmtId="164"/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/xl/worksheets/sheet11.xml" Type="http://schemas.openxmlformats.org/officeDocument/2006/relationships/worksheet" /><Relationship Id="rId12" Target="/xl/worksheets/sheet12.xml" Type="http://schemas.openxmlformats.org/officeDocument/2006/relationships/worksheet" /><Relationship Id="rId13" Target="/xl/worksheets/sheet13.xml" Type="http://schemas.openxmlformats.org/officeDocument/2006/relationships/worksheet" /><Relationship Id="rId14" Target="/xl/worksheets/sheet14.xml" Type="http://schemas.openxmlformats.org/officeDocument/2006/relationships/worksheet" /><Relationship Id="rId15" Target="/xl/worksheets/sheet15.xml" Type="http://schemas.openxmlformats.org/officeDocument/2006/relationships/worksheet" /><Relationship Id="rId16" Target="/xl/worksheets/sheet16.xml" Type="http://schemas.openxmlformats.org/officeDocument/2006/relationships/worksheet" /><Relationship Id="rId17" Target="/xl/worksheets/sheet17.xml" Type="http://schemas.openxmlformats.org/officeDocument/2006/relationships/worksheet" /><Relationship Id="rId18" Target="/xl/worksheets/sheet18.xml" Type="http://schemas.openxmlformats.org/officeDocument/2006/relationships/worksheet" /><Relationship Id="rId19" Target="/xl/pivotCache/pivotCacheDefinition1.xml" Type="http://schemas.openxmlformats.org/officeDocument/2006/relationships/pivotCacheDefinition" /><Relationship Id="rId20" Target="styles.xml" Type="http://schemas.openxmlformats.org/officeDocument/2006/relationships/styles" /><Relationship Id="rId21" Target="theme/theme1.xml" Type="http://schemas.openxmlformats.org/officeDocument/2006/relationships/theme" /><Relationship Id="rId22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pivotSource>
    <name>[Budget.xlsm]All!ReportAAiT</name>
    <fmtId val="0"/>
  </pivotSource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Expenditure Report of the Departments</a:t>
            </a:r>
          </a:p>
        </rich>
      </tx>
      <layout>
        <manualLayout>
          <xMode val="edge"/>
          <yMode val="edge"/>
          <wMode val="factor"/>
          <hMode val="factor"/>
          <x val="0.2446557838806735"/>
          <y val="0.004535149011783889"/>
        </manualLayout>
      </layout>
      <overlay val="0"/>
      <spPr>
        <a:noFill/>
        <a:ln>
          <a:noFill/>
          <a:prstDash val="solid"/>
        </a:ln>
      </spPr>
    </title>
    <pivotFmts>
      <pivotFmt>
        <idx val="0"/>
      </pivotFmt>
      <pivotFmt>
        <idx val="1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dLblPos val="inEnd"/>
          <showLegendKey val="0"/>
          <showVal val="1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6"/>
          </a:solidFill>
          <a:ln>
            <a:noFill/>
            <a:prstDash val="solid"/>
          </a:ln>
          <a:sp3d/>
        </spPr>
        <marker>
          <symbol val="none"/>
          <spPr>
            <a:ln>
              <a:prstDash val="solid"/>
            </a:ln>
          </spPr>
        </marker>
        <dLbl>
          <idx val="0"/>
          <spPr>
            <a:solidFill>
              <a:sysClr lastClr="FFFFFF" val="window"/>
            </a:solidFill>
            <a:ln>
              <a:solidFill>
                <a:sysClr lastClr="000000" val="windowText">
                  <a:lumOff val="75000"/>
                  <a:lumMod val="25000"/>
                </a:sysClr>
              </a:solidFill>
              <a:prstDash val="solid"/>
            </a:ln>
          </spPr>
          <txPr>
            <a:bodyPr anchor="ctr" anchorCtr="1" bIns="19050" horzOverflow="clip" lIns="38100" rIns="38100" rot="0" spcFirstLastPara="1" tIns="19050" vert="horz" vertOverflow="clip" wrap="square">
              <a:spAutoFit/>
            </a:bodyPr>
            <a:lstStyle/>
            <a:p>
              <a:pPr>
                <a:defRPr b="0" baseline="0" i="0" kern="1200" strike="noStrike" sz="90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dLblPos val="outEnd"/>
          <showLegendKey val="0"/>
          <showVal val="1"/>
          <showCatName val="1"/>
          <showSerName val="0"/>
          <showPercent val="0"/>
          <showBubbleSize val="0"/>
        </dLbl>
      </pivotFmt>
      <pivotFmt>
        <idx val="3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1162628086123381"/>
          <y val="0.09748663769969929"/>
          <w val="0.8574578665471694"/>
          <h val="0.6470953274240369"/>
        </manualLayout>
      </layout>
      <barChart>
        <barDir val="col"/>
        <grouping val="clustered"/>
        <varyColors val="0"/>
        <ser>
          <idx val="0"/>
          <order val="0"/>
          <tx>
            <strRef>
              <f>All!$G$7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All!$F$8:$F$14</f>
              <strCache>
                <ptCount val="6"/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All!$G$8:$G$14</f>
              <numCache>
                <formatCode>_-[$ETB-45E]* #,##0.00_-;\-[$ETB-45E]* #,##0.00_-;_-[$ETB-45E]* "-"??_-;_-@_-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40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825323168"/>
        <axId val="825328160"/>
      </barChart>
      <catAx>
        <axId val="825323168"/>
        <scaling>
          <orientation val="minMax"/>
        </scaling>
        <delete val="0"/>
        <axPos val="b"/>
        <majorGridlines>
          <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5328160"/>
        <crosses val="autoZero"/>
        <auto val="1"/>
        <lblAlgn val="ctr"/>
        <lblOffset val="100"/>
        <noMultiLvlLbl val="0"/>
      </catAx>
      <valAx>
        <axId val="825328160"/>
        <scaling>
          <orientation val="minMax"/>
        </scaling>
        <delete val="0"/>
        <axPos val="l"/>
        <numFmt formatCode="_-[$ETB-45E]* #,##0.00_-;\-[$ETB-45E]* #,##0.00_-;_-[$ETB-45E]* &quot;-&quot;??_-;_-@_-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532316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08981926039733"/>
          <y val="0.8546090640780519"/>
          <w val="0.07363658194411092"/>
          <h val="0.0696599302796129"/>
        </manualLayout>
      </layout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AAU Budget Report YTD of AAiT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AAUFinance!$F$2:$H$2</f>
              <strCache>
                <ptCount val="3"/>
                <pt idx="0">
                  <v>Adjusted Budget</v>
                </pt>
                <pt idx="1">
                  <v>Undisbursed Amount</v>
                </pt>
                <pt idx="2">
                  <v>Annual Expenditure</v>
                </pt>
              </strCache>
            </strRef>
          </cat>
          <val>
            <numRef>
              <f>AAUFinance!$F$3:$H$3</f>
              <numCache>
                <formatCode>_-[$ETB-45E]* #,##0.00_-;\-[$ETB-45E]* #,##0.00_-;_-[$ETB-45E]* "-"??_-;_-@_-</formatCode>
                <ptCount val="3"/>
                <pt idx="0">
                  <v>568399998</v>
                </pt>
                <pt idx="1">
                  <v>724940</v>
                </pt>
                <pt idx="2">
                  <v>60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Departments Annual Budget</a:t>
            </a:r>
            <a:r>
              <a:rPr baseline="0" lang="en-US"/>
              <a:t xml:space="preserve"> out of AAiT's Budget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>
                <a:noFill/>
                <a:prstDash val="solid"/>
              </a:ln>
            </spPr>
          </dPt>
          <dPt>
            <idx val="3"/>
            <bubble3D val="0"/>
            <spPr>
              <a:solidFill>
                <a:schemeClr val="accent4"/>
              </a:solidFill>
              <a:ln>
                <a:noFill/>
                <a:prstDash val="solid"/>
              </a:ln>
            </spPr>
          </dPt>
          <dPt>
            <idx val="4"/>
            <bubble3D val="0"/>
            <spPr>
              <a:solidFill>
                <a:schemeClr val="accent5"/>
              </a:solidFill>
              <a:ln>
                <a:noFill/>
                <a:prstDash val="solid"/>
              </a:ln>
            </spPr>
          </dPt>
          <dPt>
            <idx val="5"/>
            <bubble3D val="0"/>
            <spPr>
              <a:solidFill>
                <a:schemeClr val="accent6"/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AAiTFinance!$A$3:$A$8</f>
              <strCache>
                <ptCount val="6"/>
                <pt idx="0">
                  <v>Bio-medical Engineering</v>
                </pt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AAiTFinance!$F$3:$F$8</f>
              <numCache>
                <formatCode>_-[$ETB-45E]* #,##0.00_-;\-[$ETB-45E]* #,##0.00_-;_-[$ETB-45E]* "-"??_-;_-@_-</formatCode>
                <ptCount val="6"/>
                <pt idx="0">
                  <v>120000</v>
                </pt>
                <pt idx="1">
                  <v>120000</v>
                </pt>
                <pt idx="2">
                  <v>120000</v>
                </pt>
                <pt idx="3">
                  <v>120000</v>
                </pt>
                <pt idx="4">
                  <v>125000</v>
                </pt>
                <pt idx="5">
                  <v>120000</v>
                </pt>
              </numCache>
            </numRef>
          </val>
        </ser>
        <ser>
          <idx val="1"/>
          <order val="1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>
                <a:noFill/>
                <a:prstDash val="solid"/>
              </a:ln>
            </spPr>
          </dPt>
          <dPt>
            <idx val="3"/>
            <bubble3D val="0"/>
            <spPr>
              <a:solidFill>
                <a:schemeClr val="accent4"/>
              </a:solidFill>
              <a:ln>
                <a:noFill/>
                <a:prstDash val="solid"/>
              </a:ln>
            </spPr>
          </dPt>
          <dPt>
            <idx val="4"/>
            <bubble3D val="0"/>
            <spPr>
              <a:solidFill>
                <a:schemeClr val="accent5"/>
              </a:solidFill>
              <a:ln>
                <a:noFill/>
                <a:prstDash val="solid"/>
              </a:ln>
            </spPr>
          </dPt>
          <dPt>
            <idx val="5"/>
            <bubble3D val="0"/>
            <spPr>
              <a:solidFill>
                <a:schemeClr val="accent6"/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AAiTFinance!$A$3:$A$8</f>
              <strCache>
                <ptCount val="6"/>
                <pt idx="0">
                  <v>Bio-medical Engineering</v>
                </pt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AAiTFinance!$G$3:$G$8</f>
              <numCache>
                <formatCode>_-[$ETB-45E]* #,##0.00_-;\-[$ETB-45E]* #,##0.00_-;_-[$ETB-45E]* "-"??_-;_-@_-</formatCode>
                <ptCount val="6"/>
                <pt idx="0">
                  <v>120000</v>
                </pt>
                <pt idx="1">
                  <v>120000</v>
                </pt>
                <pt idx="2">
                  <v>120000</v>
                </pt>
                <pt idx="3">
                  <v>120000</v>
                </pt>
                <pt idx="4">
                  <v>124940</v>
                </pt>
                <pt idx="5">
                  <v>120000</v>
                </pt>
              </numCache>
            </numRef>
          </val>
        </ser>
        <ser>
          <idx val="2"/>
          <order val="2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>
                <a:noFill/>
                <a:prstDash val="solid"/>
              </a:ln>
            </spPr>
          </dPt>
          <dPt>
            <idx val="3"/>
            <bubble3D val="0"/>
            <spPr>
              <a:solidFill>
                <a:schemeClr val="accent4"/>
              </a:solidFill>
              <a:ln>
                <a:noFill/>
                <a:prstDash val="solid"/>
              </a:ln>
            </spPr>
          </dPt>
          <dPt>
            <idx val="4"/>
            <bubble3D val="0"/>
            <spPr>
              <a:solidFill>
                <a:schemeClr val="accent5"/>
              </a:solidFill>
              <a:ln>
                <a:noFill/>
                <a:prstDash val="solid"/>
              </a:ln>
            </spPr>
          </dPt>
          <dPt>
            <idx val="5"/>
            <bubble3D val="0"/>
            <spPr>
              <a:solidFill>
                <a:schemeClr val="accent6"/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AAiTFinance!$A$3:$A$8</f>
              <strCache>
                <ptCount val="6"/>
                <pt idx="0">
                  <v>Bio-medical Engineering</v>
                </pt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AAiTFinance!$H$3:$H$8</f>
              <numCache>
                <formatCode>_-[$ETB-45E]* #,##0.00_-;\-[$ETB-45E]* #,##0.00_-;_-[$ETB-45E]* "-"??_-;_-@_-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60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 xml:space="preserve">Biomedical Expenditure vs Undisbursed YTD report 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Biomedical!$A$20:$A$21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Biomedical!$B$20:$B$21</f>
              <numCache>
                <formatCode>_-[$ETB-45E]* #,##0.00_-;\-[$ETB-45E]* #,##0.00_-;_-[$ETB-45E]* "-"??_-;_-@_-</formatCode>
                <ptCount val="2"/>
                <pt idx="0">
                  <v>120000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 xml:space="preserve">Biomedical </a:t>
            </a:r>
            <a:r>
              <a:rPr b="1" baseline="0" i="0" lang="en-US" normalizeH="0" strike="noStrike" sz="1600"/>
              <a:t>Total Withdrawal YTD</a:t>
            </a:r>
            <a:r>
              <a:rPr lang="en-US"/>
              <a:t xml:space="preserve"> 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BiomedicalReport!$F$3:$F$12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BiomedicalReport!$G$3:$G$12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ITSC Expenditure vs Undibursed YTD Report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1"/>
            <showBubbleSize val="0"/>
            <showLeaderLines val="1"/>
          </dLbls>
          <cat>
            <strRef>
              <f>ITSC!$A$20:$A$21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ITSC!$B$20:$B$21</f>
              <numCache>
                <formatCode>_-[$ETB-45E]* #,##0.00_-;\-[$ETB-45E]* #,##0.00_-;_-[$ETB-45E]* "-"??_-;_-@_-</formatCode>
                <ptCount val="2"/>
                <pt idx="0">
                  <v>12440</v>
                </pt>
                <pt idx="1">
                  <v>60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ITSC</a:t>
            </a:r>
            <a:r>
              <a:rPr baseline="0" lang="en-US"/>
              <a:t xml:space="preserve"> Total Withdrawal YTD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1986526684164479"/>
          <y val="0.02777777777777778"/>
        </manualLayout>
      </layout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solidFill>
                <a:sysClr lastClr="FFFFFF" val="window">
                  <a:alpha val="75000"/>
                </a:sysClr>
              </a:solidFill>
              <a:ln w="9525">
                <a:solidFill>
                  <a:srgbClr val="000000"/>
                </a:solidFill>
                <a:prstDash val="solid"/>
              </a:ln>
            </spPr>
            <txPr>
              <a:bodyPr anchor="ctr" anchorCtr="1" bIns="19050" horzOverflow="clip" lIns="38100" rIns="38100" rot="0" spcFirstLastPara="1" tIns="19050" vert="horz" vertOverflow="clip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1"/>
            <showSerName val="0"/>
            <showPercent val="1"/>
            <showBubbleSize val="0"/>
            <showLeaderLines val="0"/>
          </dLbls>
          <cat>
            <numRef>
              <f>ITSCReport!$F$3:$F$12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ITSCReport!$G$3:$G$12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20</v>
                </pt>
                <pt idx="3">
                  <v>0</v>
                </pt>
                <pt idx="4">
                  <v>40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0"/>
          <showBubbleSize val="0"/>
          <showLeaderLines val="0"/>
        </dLbls>
        <firstSliceAng val="0"/>
      </pieChart>
    </plotArea>
    <legend>
      <legendPos val="r"/>
      <layout>
        <manualLayout>
          <xMode val="edge"/>
          <yMode val="edge"/>
          <wMode val="factor"/>
          <hMode val="factor"/>
          <x val="0.7968707349081365"/>
          <y val="0.1013396762904637"/>
          <w val="0.1670181539807524"/>
          <h val="0.8506999125109361"/>
        </manualLayout>
      </layout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1"/>
            <showBubbleSize val="0"/>
            <showLeaderLines val="1"/>
          </dLbls>
          <cat>
            <strRef>
              <f>Chemical!$A$20:$A$21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Chemical!$B$20:$B$21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 xml:space="preserve">Chemical </a:t>
            </a:r>
            <a:r>
              <a:rPr b="1" baseline="0" i="0" lang="en-US" normalizeH="0" strike="noStrike" sz="1600"/>
              <a:t>Total Withdrawal YTD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1617430008748906"/>
          <y val="0.03240740740740741"/>
        </manualLayout>
      </layout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ChemicalReport!$F$3:$F$12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ChemicalReport!$G$3:$G$12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</a:t>
            </a:r>
            <a:r>
              <a:rPr baseline="0" lang="en-US"/>
              <a:t xml:space="preserve"> Expenditure vs Undibursed YTD Report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Civil!$A$20:$A$21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Civil!$B$20:$B$21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Civil Total Withdrawal YTD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CivilReport!$F$3:$F$12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CivilReport!$G$3:$G$12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Electrical Expenditure vs Undisbursed YTD Report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Electrical!$A$20:$A$21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Electrical!$B$20:$B$21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ctr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Electrical</a:t>
            </a:r>
            <a:r>
              <a:rPr baseline="0" lang="en-US"/>
              <a:t xml:space="preserve"> </a:t>
            </a:r>
            <a:r>
              <a:rPr b="1" baseline="0" i="0" lang="en-US" normalizeH="0" strike="noStrike" sz="1600"/>
              <a:t>Total Withdrawal YTD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ElectricalReport!$F$3:$F$12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ElectricalReport!$G$3:$G$12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Mechanical Expenditure vs Undisbursed</a:t>
            </a:r>
            <a:r>
              <a:rPr baseline="0" lang="en-US"/>
              <a:t xml:space="preserve"> YTD Report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Mechanical!$A$20:$A$21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Mechanical!$B$20:$B$21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Electrical</a:t>
            </a:r>
            <a:r>
              <a:rPr baseline="0" lang="en-US"/>
              <a:t xml:space="preserve"> </a:t>
            </a:r>
            <a:r>
              <a:rPr b="1" baseline="0" i="0" lang="en-US" normalizeH="0" strike="noStrike" sz="1600"/>
              <a:t>Total Withdrawal YTD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MechanicalReport!$F$3:$F$12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MechanicalReport!$G$3:$G$12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/Relationships>
</file>

<file path=xl/drawings/_rels/drawing2.xml.rels><Relationships xmlns="http://schemas.openxmlformats.org/package/2006/relationships"><Relationship Id="rId1" Target="/xl/charts/chart2.xml" Type="http://schemas.openxmlformats.org/officeDocument/2006/relationships/chart" /></Relationships>
</file>

<file path=xl/drawings/_rels/drawing3.xml.rels><Relationships xmlns="http://schemas.openxmlformats.org/package/2006/relationships"><Relationship Id="rId1" Target="/xl/charts/chart3.xml" Type="http://schemas.openxmlformats.org/officeDocument/2006/relationships/chart" /></Relationships>
</file>

<file path=xl/drawings/_rels/drawing4.xml.rels><Relationships xmlns="http://schemas.openxmlformats.org/package/2006/relationships"><Relationship Id="rId1" Target="/xl/charts/chart4.xml" Type="http://schemas.openxmlformats.org/officeDocument/2006/relationships/chart" /></Relationships>
</file>

<file path=xl/drawings/_rels/drawing5.xml.rels><Relationships xmlns="http://schemas.openxmlformats.org/package/2006/relationships"><Relationship Id="rId1" Target="/xl/charts/chart5.xml" Type="http://schemas.openxmlformats.org/officeDocument/2006/relationships/chart" /></Relationships>
</file>

<file path=xl/drawings/_rels/drawing6.xml.rels><Relationships xmlns="http://schemas.openxmlformats.org/package/2006/relationships"><Relationship Id="rId1" Target="/xl/charts/chart6.xml" Type="http://schemas.openxmlformats.org/officeDocument/2006/relationships/chart" /></Relationships>
</file>

<file path=xl/drawings/_rels/drawing7.xml.rels><Relationships xmlns="http://schemas.openxmlformats.org/package/2006/relationships"><Relationship Id="rId1" Target="/xl/charts/chart7.xml" Type="http://schemas.openxmlformats.org/officeDocument/2006/relationships/chart" /></Relationships>
</file>

<file path=xl/drawings/_rels/drawing8.xml.rels><Relationships xmlns="http://schemas.openxmlformats.org/package/2006/relationships"><Relationship Id="rId1" Target="/xl/charts/chart8.xml" Type="http://schemas.openxmlformats.org/officeDocument/2006/relationships/chart" /></Relationships>
</file>

<file path=xl/drawings/_rels/drawing9.xml.rels><Relationships xmlns="http://schemas.openxmlformats.org/package/2006/relationships"><Relationship Id="rId1" Target="/xl/charts/chart9.xml" Type="http://schemas.openxmlformats.org/officeDocument/2006/relationships/chart" /></Relationships>
</file>

<file path=xl/drawings/_rels/drawing10.xml.rels><Relationships xmlns="http://schemas.openxmlformats.org/package/2006/relationships"><Relationship Id="rId1" Target="/xl/charts/chart10.xml" Type="http://schemas.openxmlformats.org/officeDocument/2006/relationships/chart" /></Relationships>
</file>

<file path=xl/drawings/_rels/drawing11.xml.rels><Relationships xmlns="http://schemas.openxmlformats.org/package/2006/relationships"><Relationship Id="rId1" Target="/xl/charts/chart11.xml" Type="http://schemas.openxmlformats.org/officeDocument/2006/relationships/chart" /></Relationships>
</file>

<file path=xl/drawings/_rels/drawing12.xml.rels><Relationships xmlns="http://schemas.openxmlformats.org/package/2006/relationships"><Relationship Id="rId1" Target="/xl/charts/chart12.xml" Type="http://schemas.openxmlformats.org/officeDocument/2006/relationships/chart" /></Relationships>
</file>

<file path=xl/drawings/_rels/drawing13.xml.rels><Relationships xmlns="http://schemas.openxmlformats.org/package/2006/relationships"><Relationship Id="rId1" Target="/xl/charts/chart13.xml" Type="http://schemas.openxmlformats.org/officeDocument/2006/relationships/chart" /></Relationships>
</file>

<file path=xl/drawings/_rels/drawing14.xml.rels><Relationships xmlns="http://schemas.openxmlformats.org/package/2006/relationships"><Relationship Id="rId1" Target="/xl/charts/chart14.xml" Type="http://schemas.openxmlformats.org/officeDocument/2006/relationships/chart" /></Relationships>
</file>

<file path=xl/drawings/_rels/drawing15.xml.rels><Relationships xmlns="http://schemas.openxmlformats.org/package/2006/relationships"><Relationship Id="rId1" Target="/xl/charts/chart15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19050</colOff>
      <row>3</row>
      <rowOff>123825</rowOff>
    </from>
    <to>
      <col>15</col>
      <colOff>476250</colOff>
      <row>19</row>
      <rowOff>142875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1323975</colOff>
      <row>4</row>
      <rowOff>14287</rowOff>
    </from>
    <to>
      <col>7</col>
      <colOff>1200150</colOff>
      <row>18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257175</colOff>
      <row>9</row>
      <rowOff>138112</rowOff>
    </from>
    <to>
      <col>6</col>
      <colOff>66675</colOff>
      <row>22</row>
      <rowOff>119062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495300</colOff>
      <row>13</row>
      <rowOff>176212</rowOff>
    </from>
    <to>
      <col>6</col>
      <colOff>466725</colOff>
      <row>28</row>
      <rowOff>14287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600075</colOff>
      <row>13</row>
      <rowOff>147637</rowOff>
    </from>
    <to>
      <col>10</col>
      <colOff>28575</colOff>
      <row>28</row>
      <rowOff>33337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709612</colOff>
      <row>12</row>
      <rowOff>147637</rowOff>
    </from>
    <to>
      <col>7</col>
      <colOff>61912</colOff>
      <row>26</row>
      <rowOff>176212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9525</colOff>
      <row>14</row>
      <rowOff>14287</rowOff>
    </from>
    <to>
      <col>8</col>
      <colOff>1200150</colOff>
      <row>28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509587</colOff>
      <row>12</row>
      <rowOff>185737</rowOff>
    </from>
    <to>
      <col>6</col>
      <colOff>471487</colOff>
      <row>27</row>
      <rowOff>23812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571500</colOff>
      <row>14</row>
      <rowOff>28575</rowOff>
    </from>
    <to>
      <col>9</col>
      <colOff>552450</colOff>
      <row>28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519112</colOff>
      <row>13</row>
      <rowOff>100012</rowOff>
    </from>
    <to>
      <col>6</col>
      <colOff>481012</colOff>
      <row>27</row>
      <rowOff>128587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0</colOff>
      <row>13</row>
      <rowOff>185737</rowOff>
    </from>
    <to>
      <col>9</col>
      <colOff>542925</colOff>
      <row>28</row>
      <rowOff>71437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1085850</colOff>
      <row>13</row>
      <rowOff>61912</rowOff>
    </from>
    <to>
      <col>6</col>
      <colOff>476250</colOff>
      <row>27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600075</colOff>
      <row>14</row>
      <rowOff>19050</rowOff>
    </from>
    <to>
      <col>9</col>
      <colOff>552450</colOff>
      <row>28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528637</colOff>
      <row>12</row>
      <rowOff>157162</rowOff>
    </from>
    <to>
      <col>6</col>
      <colOff>490537</colOff>
      <row>25</row>
      <rowOff>138112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0</colOff>
      <row>14</row>
      <rowOff>14287</rowOff>
    </from>
    <to>
      <col>10</col>
      <colOff>161925</colOff>
      <row>28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Id="rId1" Target="/xl/pivotCache/pivotCacheRecords1.xml" Type="http://schemas.openxmlformats.org/officeDocument/2006/relationships/pivotCacheRecords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6" minRefreshableVersion="3" recordCount="7" refreshedBy="Toshiba" refreshedDate="43665.71073310185" refreshedVersion="6" r:id="rId1">
  <cacheSource type="worksheet">
    <worksheetSource name="Table3"/>
  </cacheSource>
  <cacheFields count="12">
    <cacheField databaseField="1" hierarchy="0" level="0" name="Department" numFmtId="0" sqlType="0" uniqueList="1">
      <sharedItems count="7">
        <s v="Bio-medical Engineering"/>
        <s v="Chemical Engineering"/>
        <s v="Civil Engineering"/>
        <s v="Electrical Engineering"/>
        <s v="ITSC"/>
        <s v="Mechanical Engineering"/>
        <s v="Total Expenditure"/>
      </sharedItems>
    </cacheField>
    <cacheField databaseField="1" hierarchy="0" level="0" name="6111" numFmtId="164" sqlType="0" uniqueList="1">
      <sharedItems containsInteger="1" containsNumber="1" containsSemiMixedTypes="0" containsString="0" count="0" maxValue="0" minValue="0"/>
    </cacheField>
    <cacheField databaseField="1" hierarchy="0" level="0" name="6113" numFmtId="164" sqlType="0" uniqueList="1">
      <sharedItems containsInteger="1" containsNumber="1" containsSemiMixedTypes="0" containsString="0" count="0" maxValue="0" minValue="0"/>
    </cacheField>
    <cacheField databaseField="1" hierarchy="0" level="0" name="6121" numFmtId="164" sqlType="0" uniqueList="1">
      <sharedItems containsInteger="1" containsNumber="1" containsSemiMixedTypes="0" containsString="0" count="0" maxValue="0" minValue="0"/>
    </cacheField>
    <cacheField databaseField="1" hierarchy="0" level="0" name="6211" numFmtId="164" sqlType="0" uniqueList="1">
      <sharedItems containsInteger="1" containsNumber="1" containsSemiMixedTypes="0" containsString="0" count="0" maxValue="0" minValue="0"/>
    </cacheField>
    <cacheField databaseField="1" hierarchy="0" level="0" name="6212" numFmtId="164" sqlType="0" uniqueList="1">
      <sharedItems containsInteger="1" containsNumber="1" containsSemiMixedTypes="0" containsString="0" count="0" maxValue="40" minValue="0"/>
    </cacheField>
    <cacheField databaseField="1" hierarchy="0" level="0" name="6218" numFmtId="164" sqlType="0" uniqueList="1">
      <sharedItems containsInteger="1" containsNumber="1" containsSemiMixedTypes="0" containsString="0" count="0" maxValue="0" minValue="0"/>
    </cacheField>
    <cacheField databaseField="1" hierarchy="0" level="0" name="6233" numFmtId="164" sqlType="0" uniqueList="1">
      <sharedItems containsInteger="1" containsNumber="1" containsSemiMixedTypes="0" containsString="0" count="0" maxValue="0" minValue="0"/>
    </cacheField>
    <cacheField databaseField="1" hierarchy="0" level="0" name="6240" numFmtId="164" sqlType="0" uniqueList="1">
      <sharedItems containsInteger="1" containsNumber="1" containsSemiMixedTypes="0" containsString="0" count="0" maxValue="0" minValue="0"/>
    </cacheField>
    <cacheField databaseField="1" hierarchy="0" level="0" name="6256" numFmtId="164" sqlType="0" uniqueList="1">
      <sharedItems containsInteger="1" containsNumber="1" containsSemiMixedTypes="0" containsString="0" count="0" maxValue="0" minValue="0"/>
    </cacheField>
    <cacheField databaseField="1" hierarchy="0" level="0" name="6271" numFmtId="164" sqlType="0" uniqueList="1">
      <sharedItems containsInteger="1" containsNumber="1" containsSemiMixedTypes="0" containsString="0" count="0" maxValue="0" minValue="0"/>
    </cacheField>
    <cacheField databaseField="1" hierarchy="0" level="0" name="Expenditure" numFmtId="164" sqlType="0" uniqueList="1">
      <sharedItems containsInteger="1" containsNumber="1" containsSemiMixedTypes="0" containsString="0" count="0" maxValue="40" minValue="0"/>
    </cacheField>
  </cacheFields>
</pivotCacheDefinition>
</file>

<file path=xl/pivotCache/pivotCacheRecords1.xml><?xml version="1.0" encoding="utf-8"?>
<pivotCacheRecords xmlns="http://schemas.openxmlformats.org/spreadsheetml/2006/main" count="7">
  <r>
    <x v="0"/>
    <n v="0"/>
    <n v="0"/>
    <n v="0"/>
    <n v="0"/>
    <n v="0"/>
    <n v="0"/>
    <n v="0"/>
    <n v="0"/>
    <n v="0"/>
    <n v="0"/>
    <n v="0"/>
  </r>
  <r>
    <x v="1"/>
    <n v="0"/>
    <n v="0"/>
    <n v="0"/>
    <n v="0"/>
    <n v="0"/>
    <n v="0"/>
    <n v="0"/>
    <n v="0"/>
    <n v="0"/>
    <n v="0"/>
    <n v="0"/>
  </r>
  <r>
    <x v="2"/>
    <n v="0"/>
    <n v="0"/>
    <n v="0"/>
    <n v="0"/>
    <n v="0"/>
    <n v="0"/>
    <n v="0"/>
    <n v="0"/>
    <n v="0"/>
    <n v="0"/>
    <n v="0"/>
  </r>
  <r>
    <x v="3"/>
    <n v="0"/>
    <n v="0"/>
    <n v="0"/>
    <n v="0"/>
    <n v="0"/>
    <n v="0"/>
    <n v="0"/>
    <n v="0"/>
    <n v="0"/>
    <n v="0"/>
    <n v="0"/>
  </r>
  <r>
    <x v="4"/>
    <n v="0"/>
    <n v="0"/>
    <n v="0"/>
    <n v="0"/>
    <n v="40"/>
    <n v="0"/>
    <n v="0"/>
    <n v="0"/>
    <n v="0"/>
    <n v="0"/>
    <n v="40"/>
  </r>
  <r>
    <x v="5"/>
    <n v="0"/>
    <n v="0"/>
    <n v="0"/>
    <n v="0"/>
    <n v="0"/>
    <n v="0"/>
    <n v="0"/>
    <n v="0"/>
    <n v="0"/>
    <n v="0"/>
    <n v="0"/>
  </r>
  <r>
    <x v="6"/>
    <n v="0"/>
    <n v="0"/>
    <n v="0"/>
    <n v="0"/>
    <n v="40"/>
    <n v="0"/>
    <n v="0"/>
    <n v="0"/>
    <n v="0"/>
    <n v="0"/>
    <n v="40"/>
  </r>
</pivotCacheRecords>
</file>

<file path=xl/pivotTables/_rels/pivotTable1.xml.rels><Relationships xmlns="http://schemas.openxmlformats.org/package/2006/relationships"><Relationship Id="rId1" Target="/xl/pivotCache/pivotCacheDefinition1.xml" Type="http://schemas.openxmlformats.org/officeDocument/2006/relationships/pivotCacheDefinition" /></Relationships>
</file>

<file path=xl/pivotTables/pivotTable1.xml><?xml version="1.0" encoding="utf-8"?>
<pivotTableDefinition xmlns:r="http://schemas.openxmlformats.org/officeDocument/2006/relationships" xmlns="http://schemas.openxmlformats.org/spreadsheetml/2006/main" applyAlignmentFormats="0" applyBorderFormats="0" applyFontFormats="0" applyNumberFormats="0" applyPatternFormats="0" applyWidthHeightFormats="1" asteriskTotals="0" cacheId="0" chartFormat="1" colGrandTotals="1" colHeaderCaption="Expenditures" compact="1" compactData="1" createdVersion="6" dataCaption="Values" dataOnRows="0" disableFieldList="0" editData="0" enableDrill="1" enableFieldProperties="1" enableWizard="1" fieldListSortAscending="0" fieldPrintTitles="0" gridDropZones="0" immersive="1" indent="0" itemPrintTitles="1" mdxSubqueries="0" mergeItem="0" minRefreshableVersion="3" multipleFieldFilters="0" name="ReportAAiT" outline="1" outlineData="1" pageOverThenDown="0" pageWrap="0" preserveFormatting="1" printDrill="0" published="0" rowGrandTotals="1" showCalcMbrs="1" showDataDropDown="1" showDataTips="1" showDrill="1" showDropZones="1" showEmptyCol="0" showEmptyRow="0" showError="0" showHeaders="1" showItems="1" showMemberPropertyTips="1" showMissing="1" showMultipleLabel="1" subtotalHiddenItems="0" updatedVersion="6" useAutoFormatting="1" visualTotals="1" r:id="rId1">
  <location firstDataCol="1" firstDataRow="1" firstHeaderRow="1" ref="F7:G14"/>
  <pivotFields count="12">
    <pivotField axis="axisRow" compact="1" defaultSubtotal="1" dragOff="1" dragToCol="1" dragToData="1" dragToPage="1" dragToRow="1" itemPageCount="10" outline="1" showAll="0" showDropDowns="1" sortType="manual" subtotalTop="1" topAutoShow="1">
      <items count="8">
        <item sd="1" t="data" x="0"/>
        <item sd="1" t="data" x="1"/>
        <item sd="1" t="data" x="2"/>
        <item sd="1" t="data" x="3"/>
        <item sd="1" t="data" x="4"/>
        <item sd="1" t="data" x="5"/>
        <item h="1" sd="1" t="data" x="6"/>
        <item sd="1" t="default"/>
      </items>
    </pivotField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ataField="1" defaultSubtotal="1" dragOff="1" dragToCol="1" dragToData="1" dragToPage="1" dragToRow="1" itemPageCount="10" numFmtId="164" outline="1" showAll="0" showDropDowns="1" sortType="manual" subtotalTop="1" topAutoShow="1"/>
  </pivotFields>
  <rowFields count="1">
    <field x="0"/>
  </rowFields>
  <rowItems count="7">
    <i i="0" r="0" t="data"/>
    <i i="0" r="0" t="data">
      <x v="1"/>
    </i>
    <i i="0" r="0" t="data">
      <x v="2"/>
    </i>
    <i i="0" r="0" t="data">
      <x v="3"/>
    </i>
    <i i="0" r="0" t="data">
      <x v="4"/>
    </i>
    <i i="0" r="0" t="data">
      <x v="5"/>
    </i>
    <i i="0" r="0" t="grand"/>
  </rowItems>
  <colItems count="1">
    <i i="0" r="0" t="data"/>
  </colItems>
  <dataFields count="1">
    <dataField baseField="0" baseItem="0" fld="11" name="Sum of Expenditure" numFmtId="164" showDataAs="normal" subtotal="sum"/>
  </dataFields>
  <formats count="3">
    <format action="formatting" dxfId="168">
      <pivotArea collapsedLevelsAreSubtotals="1" dataOnly="1" fieldPosition="0" outline="0" type="normal"/>
    </format>
    <format action="formatting" dxfId="167">
      <pivotArea dataOnly="1" fieldPosition="0" outline="0" type="normal">
        <references count="1">
          <reference field="4294967294">
            <x v="0"/>
          </reference>
        </references>
      </pivotArea>
    </format>
    <format action="formatting" dxfId="166">
      <pivotArea dataOnly="1" fieldPosition="0" outline="0" type="normal">
        <references count="1">
          <reference field="4294967294">
            <x v="0"/>
          </reference>
        </references>
      </pivotArea>
    </format>
  </formats>
  <chartFormats count="1">
    <chartFormat chart="0" format="15" series="1">
      <pivotArea dataOnly="1" fieldPosition="0" outline="0" type="data">
        <references count="1">
          <reference field="4294967294" selected="0">
            <x v="0"/>
          </reference>
        </references>
      </pivotArea>
    </chartFormat>
  </chartFormats>
  <pivotTableStyleInfo name="PivotStyleLight16" showColHeaders="1" showColStripes="0" showLastColumn="1" showRowHeaders="1" showRowStripes="0"/>
</pivotTableDefinition>
</file>

<file path=xl/tables/table1.xml><?xml version="1.0" encoding="utf-8"?>
<table xmlns="http://schemas.openxmlformats.org/spreadsheetml/2006/main" dataDxfId="163" displayName="Table24" headerRowBorderDxfId="164" headerRowCount="1" headerRowDxfId="165" id="1" name="Table24" ref="A2:H3" tableBorderDxfId="162" totalsRowBorderDxfId="161" totalsRowShown="0">
  <autoFilter ref="A2:H3"/>
  <tableColumns count="8">
    <tableColumn dataDxfId="160" id="1" name="College"/>
    <tableColumn dataDxfId="159" id="2" name="Annual Budget"/>
    <tableColumn dataDxfId="158" id="3" name="Budget Transfer">
      <calculatedColumnFormula>VLOOKUP("Budget Transfer",AAiTFinance!A12:B15,2,FALSE)</calculatedColumnFormula>
    </tableColumn>
    <tableColumn dataDxfId="157" id="8" name="Reasons for budget tranfer">
      <calculatedColumnFormula>VLOOKUP("Reasons for Budget Transfer",AAiTFinance!A12:B17,2,FALSE)</calculatedColumnFormula>
    </tableColumn>
    <tableColumn dataDxfId="156" id="4" name="Budget Status"/>
    <tableColumn dataDxfId="155" id="5" name="Adjusted Budget">
      <calculatedColumnFormula>IF(E3="Approved",B3+C3,B3)</calculatedColumnFormula>
    </tableColumn>
    <tableColumn dataDxfId="154" id="6" name="Undisbursed Amount">
      <calculatedColumnFormula>VLOOKUP("Undisbursed Amount",AAiTFinance!A12:B17,2,FALSE)</calculatedColumnFormula>
    </tableColumn>
    <tableColumn dataDxfId="153" id="7" name="Annual Expenditure">
      <calculatedColumnFormula>VLOOKUP("Annual Expenditure",AAiTFinance!A12:B17,2,FALSE)</calculatedColumnFormula>
    </tableColumn>
  </tableColumns>
  <tableStyleInfo name="TableStyleLight14" showColumnStripes="0" showFirstColumn="0" showLastColumn="0" showRowStripes="1"/>
</table>
</file>

<file path=xl/tables/table2.xml><?xml version="1.0" encoding="utf-8"?>
<table xmlns="http://schemas.openxmlformats.org/spreadsheetml/2006/main" dataDxfId="150" displayName="Table22" headerRowBorderDxfId="151" headerRowCount="1" headerRowDxfId="152" id="2" name="Table22" ref="A2:H8" tableBorderDxfId="149" totalsRowBorderDxfId="148" totalsRowShown="0">
  <autoFilter ref="A2:H8"/>
  <tableColumns count="8">
    <tableColumn dataDxfId="147" id="1" name="Department"/>
    <tableColumn dataDxfId="146" id="2" name="Annual Budget"/>
    <tableColumn dataDxfId="145" id="3" name="Budget Transfer"/>
    <tableColumn dataDxfId="144" id="8" name="Reasons for budget transfer"/>
    <tableColumn dataDxfId="143" id="4" name="Budget Status"/>
    <tableColumn dataDxfId="142" id="5" name="Adjusted Budget">
      <calculatedColumnFormula>IF(E3 = "Approved",B3 + C3,B3)</calculatedColumnFormula>
    </tableColumn>
    <tableColumn dataDxfId="141" id="6" name="Undisbursed Amount">
      <calculatedColumnFormula>F3-H3</calculatedColumnFormula>
    </tableColumn>
    <tableColumn dataDxfId="140" id="7" name="Annual Expenditure"/>
  </tableColumns>
  <tableStyleInfo name="TableStyleLight1" showColumnStripes="0" showFirstColumn="0" showLastColumn="0" showRowStripes="1"/>
</table>
</file>

<file path=xl/tables/table3.xml><?xml version="1.0" encoding="utf-8"?>
<table xmlns="http://schemas.openxmlformats.org/spreadsheetml/2006/main" displayName="Table3" headerRowBorderDxfId="138" headerRowCount="1" headerRowDxfId="139" id="3" name="Table3" ref="A3:L10" totalsRowBorderDxfId="137">
  <autoFilter ref="A3:L10"/>
  <tableColumns count="12">
    <tableColumn dataDxfId="136" id="1" name="Department" totalsRowDxfId="135" totalsRowLabel="Total"/>
    <tableColumn dataDxfId="134" id="2" name="6111" totalsRowDxfId="133"/>
    <tableColumn dataDxfId="132" id="3" name="6113" totalsRowDxfId="131"/>
    <tableColumn dataDxfId="130" id="4" name="6121" totalsRowDxfId="129"/>
    <tableColumn dataDxfId="128" id="5" name="6211" totalsRowDxfId="127"/>
    <tableColumn dataDxfId="126" id="6" name="6212" totalsRowDxfId="125"/>
    <tableColumn dataDxfId="124" id="7" name="6218" totalsRowDxfId="123"/>
    <tableColumn dataDxfId="122" id="8" name="6233" totalsRowDxfId="121"/>
    <tableColumn dataDxfId="120" id="9" name="6240" totalsRowDxfId="119"/>
    <tableColumn dataDxfId="118" id="10" name="6256" totalsRowDxfId="117"/>
    <tableColumn dataDxfId="116" id="11" name="6271" totalsRowDxfId="115"/>
    <tableColumn dataDxfId="114" id="12" name="Expenditure" totalsRowDxfId="113" totalsRowFunction="sum"/>
  </tableColumns>
  <tableStyleInfo name="TableStyleMedium7" showColumnStripes="0" showFirstColumn="1" showLastColumn="0" showRowStripes="1"/>
</table>
</file>

<file path=xl/tables/table4.xml><?xml version="1.0" encoding="utf-8"?>
<table xmlns="http://schemas.openxmlformats.org/spreadsheetml/2006/main" displayName="Table16" headerRowBorderDxfId="111" headerRowCount="1" headerRowDxfId="112" id="4" name="Table16" ref="A2:E12" tableBorderDxfId="110" totalsRowBorderDxfId="109" totalsRowShown="0">
  <autoFilter ref="A2:E12"/>
  <tableColumns count="5">
    <tableColumn dataDxfId="108" id="1" name="Budget Code"/>
    <tableColumn dataDxfId="107" id="2" name="Percentage(100%)"/>
    <tableColumn dataDxfId="106" id="3" name="Annual Budget"/>
    <tableColumn dataDxfId="105" id="4" name="Undisbursed Amount">
      <calculatedColumnFormula>C3-E3</calculatedColumnFormula>
    </tableColumn>
    <tableColumn dataDxfId="104" id="5" name="Annual Expenditure"/>
  </tableColumns>
  <tableStyleInfo name="TableStyleLight1" showColumnStripes="0" showFirstColumn="0" showLastColumn="0" showRowStripes="1"/>
</table>
</file>

<file path=xl/tables/table5.xml><?xml version="1.0" encoding="utf-8"?>
<table xmlns="http://schemas.openxmlformats.org/spreadsheetml/2006/main" displayName="Table5" headerRowCount="1" headerRowDxfId="103" id="5" name="Table5" ref="A2:D400" totalsRowShown="0">
  <autoFilter ref="A2:D400"/>
  <tableColumns count="4">
    <tableColumn id="1" name="Date"/>
    <tableColumn id="2" name="Budget Code"/>
    <tableColumn dataDxfId="102" id="3" name="Reason for withdrawal"/>
    <tableColumn dataDxfId="101" id="4" name="Withdrawal"/>
  </tableColumns>
  <tableStyleInfo name="TableStyleLight1" showColumnStripes="0" showFirstColumn="0" showLastColumn="0" showRowStripes="1"/>
</table>
</file>

<file path=xl/tables/table6.xml><?xml version="1.0" encoding="utf-8"?>
<table xmlns="http://schemas.openxmlformats.org/spreadsheetml/2006/main" displayName="Table71516" headerRowBorderDxfId="99" headerRowCount="1" headerRowDxfId="100" id="6" name="Table71516" ref="F2:G13" tableBorderDxfId="98" totalsRowBorderDxfId="97" totalsRowCount="1">
  <autoFilter ref="F2:G12"/>
  <tableColumns count="2">
    <tableColumn dataDxfId="96" id="1" name="Budget Code" totalsRowDxfId="95" totalsRowLabel="Annual Expenditure"/>
    <tableColumn dataDxfId="94" id="2" name="Withdrawal" totalsRowDxfId="93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7.xml><?xml version="1.0" encoding="utf-8"?>
<table xmlns="http://schemas.openxmlformats.org/spreadsheetml/2006/main" displayName="Table17" headerRowBorderDxfId="91" headerRowCount="1" headerRowDxfId="92" id="7" name="Table17" ref="A2:E12" tableBorderDxfId="90" totalsRowBorderDxfId="89" totalsRowShown="0">
  <autoFilter ref="A2:E12"/>
  <tableColumns count="5">
    <tableColumn dataDxfId="88" id="1" name="Budget Code"/>
    <tableColumn dataDxfId="87" id="2" name="Percentage(100%)"/>
    <tableColumn dataDxfId="86" id="3" name="Annual Budget"/>
    <tableColumn dataDxfId="85" id="4" name="Undisbursed Amount">
      <calculatedColumnFormula>C2-E2</calculatedColumnFormula>
    </tableColumn>
    <tableColumn dataDxfId="84" id="5" name="Annual Expenditure"/>
  </tableColumns>
  <tableStyleInfo name="TableStyleLight1" showColumnStripes="0" showFirstColumn="0" showLastColumn="0" showRowStripes="1"/>
</table>
</file>

<file path=xl/tables/table8.xml><?xml version="1.0" encoding="utf-8"?>
<table xmlns="http://schemas.openxmlformats.org/spreadsheetml/2006/main" dataDxfId="83" displayName="Table4" headerRowCount="1" id="8" name="Table4" ref="A2:D498" totalsRowShown="0">
  <autoFilter ref="A2:D498"/>
  <tableColumns count="4">
    <tableColumn dataDxfId="82" id="1" name="Date"/>
    <tableColumn dataDxfId="81" id="2" name="Budget Code"/>
    <tableColumn dataDxfId="80" id="3" name="Reason for withdrawal"/>
    <tableColumn dataDxfId="79" id="4" name="Withdrawal"/>
  </tableColumns>
  <tableStyleInfo name="TableStyleLight1" showColumnStripes="0" showFirstColumn="0" showLastColumn="0" showRowStripes="1"/>
</table>
</file>

<file path=xl/tables/table9.xml><?xml version="1.0" encoding="utf-8"?>
<table xmlns="http://schemas.openxmlformats.org/spreadsheetml/2006/main" displayName="Table715" headerRowBorderDxfId="77" headerRowCount="1" headerRowDxfId="78" id="9" name="Table715" ref="F2:G13" tableBorderDxfId="76" totalsRowBorderDxfId="75" totalsRowShown="0">
  <autoFilter ref="F2:G13"/>
  <tableColumns count="2">
    <tableColumn dataDxfId="74" id="1" name="Budget Code"/>
    <tableColumn dataDxfId="73" id="2" name="Withdrawal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0.xml><?xml version="1.0" encoding="utf-8"?>
<table xmlns="http://schemas.openxmlformats.org/spreadsheetml/2006/main" displayName="Table18" headerRowBorderDxfId="71" headerRowCount="1" headerRowDxfId="72" id="10" name="Table18" ref="A2:E12" tableBorderDxfId="70" totalsRowBorderDxfId="69" totalsRowShown="0">
  <autoFilter ref="A2:E12"/>
  <tableColumns count="5">
    <tableColumn dataDxfId="68" id="1" name="Budget Code"/>
    <tableColumn dataDxfId="67" id="2" name="Percentage(100%)"/>
    <tableColumn dataDxfId="66" id="3" name="Annual Budget"/>
    <tableColumn dataDxfId="65" id="4" name="Undisbursed Amount">
      <calculatedColumnFormula>C2-E2</calculatedColumnFormula>
    </tableColumn>
    <tableColumn dataDxfId="64" id="5" name="Annual Expenditure"/>
  </tableColumns>
  <tableStyleInfo name="TableStyleLight1" showColumnStripes="0" showFirstColumn="0" showLastColumn="0" showRowStripes="1"/>
</table>
</file>

<file path=xl/tables/table11.xml><?xml version="1.0" encoding="utf-8"?>
<table xmlns="http://schemas.openxmlformats.org/spreadsheetml/2006/main" displayName="Table6" headerRowCount="1" id="11" name="Table6" ref="A2:D500" totalsRowShown="0">
  <tableColumns count="4">
    <tableColumn id="1" name="Date"/>
    <tableColumn id="2" name="Budget Code"/>
    <tableColumn dataDxfId="63" id="3" name="Reason for withdrawal"/>
    <tableColumn id="4" name="Withdrawal"/>
  </tableColumns>
  <tableStyleInfo name="TableStyleLight1" showColumnStripes="0" showFirstColumn="0" showLastColumn="0" showRowStripes="1"/>
</table>
</file>

<file path=xl/tables/table12.xml><?xml version="1.0" encoding="utf-8"?>
<table xmlns="http://schemas.openxmlformats.org/spreadsheetml/2006/main" displayName="Table7" headerRowBorderDxfId="61" headerRowCount="1" headerRowDxfId="62" id="12" name="Table7" ref="F2:G13" tableBorderDxfId="60" totalsRowBorderDxfId="59" totalsRowShown="0">
  <autoFilter ref="F2:G13"/>
  <tableColumns count="2">
    <tableColumn dataDxfId="58" id="1" name="Budget Code"/>
    <tableColumn dataDxfId="57" id="2" name="Withdrawal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3.xml><?xml version="1.0" encoding="utf-8"?>
<table xmlns="http://schemas.openxmlformats.org/spreadsheetml/2006/main" displayName="Table19" headerRowBorderDxfId="55" headerRowCount="1" headerRowDxfId="56" id="13" name="Table19" ref="A2:E12" tableBorderDxfId="54" totalsRowBorderDxfId="53" totalsRowShown="0">
  <autoFilter ref="A2:E12"/>
  <tableColumns count="5">
    <tableColumn dataDxfId="52" id="1" name="Budget Code"/>
    <tableColumn dataDxfId="51" id="2" name="Percentage(100%)"/>
    <tableColumn dataDxfId="50" id="3" name="Annual Budget"/>
    <tableColumn dataDxfId="49" id="4" name="Undisbursed Amount">
      <calculatedColumnFormula>C2-E2</calculatedColumnFormula>
    </tableColumn>
    <tableColumn dataDxfId="48" id="5" name="Annual Expenditure"/>
  </tableColumns>
  <tableStyleInfo name="TableStyleLight1" showColumnStripes="0" showFirstColumn="0" showLastColumn="0" showRowStripes="1"/>
</table>
</file>

<file path=xl/tables/table14.xml><?xml version="1.0" encoding="utf-8"?>
<table xmlns="http://schemas.openxmlformats.org/spreadsheetml/2006/main" displayName="Table79" headerRowBorderDxfId="46" headerRowCount="1" headerRowDxfId="47" id="14" name="Table79" ref="F2:G13" tableBorderDxfId="45" totalsRowBorderDxfId="44" totalsRowCount="1">
  <autoFilter ref="F2:G12"/>
  <tableColumns count="2">
    <tableColumn dataDxfId="43" id="1" name="Budget Code" totalsRowDxfId="42" totalsRowLabel="Annual Expenditure"/>
    <tableColumn dataDxfId="41" id="2" name="Withdrawal" totalsRowDxfId="40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5.xml><?xml version="1.0" encoding="utf-8"?>
<table xmlns="http://schemas.openxmlformats.org/spreadsheetml/2006/main" displayName="Table9" headerRowCount="1" headerRowDxfId="39" id="15" name="Table9" ref="A2:D501" totalsRowShown="0">
  <autoFilter ref="A2:D501"/>
  <tableColumns count="4">
    <tableColumn id="1" name="Date"/>
    <tableColumn id="2" name="Budget Code"/>
    <tableColumn dataDxfId="38" id="3" name="Reason for withdrawal"/>
    <tableColumn id="4" name="Withdrawal"/>
  </tableColumns>
  <tableStyleInfo name="TableStyleLight1" showColumnStripes="0" showFirstColumn="0" showLastColumn="0" showRowStripes="1"/>
</table>
</file>

<file path=xl/tables/table16.xml><?xml version="1.0" encoding="utf-8"?>
<table xmlns="http://schemas.openxmlformats.org/spreadsheetml/2006/main" displayName="Table20" headerRowBorderDxfId="36" headerRowCount="1" headerRowDxfId="37" id="16" name="Table20" ref="A2:E12" tableBorderDxfId="35" totalsRowBorderDxfId="34" totalsRowShown="0">
  <autoFilter ref="A2:E12"/>
  <tableColumns count="5">
    <tableColumn dataDxfId="33" id="1" name="Budget Code"/>
    <tableColumn dataDxfId="32" id="2" name="Percentage(100%)"/>
    <tableColumn dataDxfId="31" id="3" name="Annual Budget"/>
    <tableColumn dataDxfId="30" id="4" name="Undisbursed Amount">
      <calculatedColumnFormula>C2-E2</calculatedColumnFormula>
    </tableColumn>
    <tableColumn dataDxfId="29" id="5" name="Annual Expenditure"/>
  </tableColumns>
  <tableStyleInfo name="TableStyleLight1" showColumnStripes="0" showFirstColumn="0" showLastColumn="0" showRowStripes="1"/>
</table>
</file>

<file path=xl/tables/table17.xml><?xml version="1.0" encoding="utf-8"?>
<table xmlns="http://schemas.openxmlformats.org/spreadsheetml/2006/main" displayName="Table7911" headerRowBorderDxfId="27" headerRowCount="1" headerRowDxfId="28" id="17" name="Table7911" ref="F2:G13" tableBorderDxfId="26" totalsRowBorderDxfId="25" totalsRowCount="1">
  <autoFilter ref="F2:G12"/>
  <tableColumns count="2">
    <tableColumn dataDxfId="24" id="1" name="Budget Code" totalsRowDxfId="23" totalsRowLabel="Annual Expenditure"/>
    <tableColumn dataDxfId="22" id="2" name="Withdrawal" totalsRowDxfId="21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8.xml><?xml version="1.0" encoding="utf-8"?>
<table xmlns="http://schemas.openxmlformats.org/spreadsheetml/2006/main" displayName="Table11" headerRowCount="1" id="18" name="Table11" ref="A2:D501" totalsRowShown="0">
  <autoFilter ref="A2:D501"/>
  <tableColumns count="4">
    <tableColumn id="1" name="Date"/>
    <tableColumn id="2" name="Budget Code"/>
    <tableColumn dataDxfId="20" id="3" name="Reasons for withdrawal"/>
    <tableColumn dataDxfId="19" id="4" name="Withdrawal"/>
  </tableColumns>
  <tableStyleInfo name="TableStyleLight1" showColumnStripes="0" showFirstColumn="0" showLastColumn="0" showRowStripes="1"/>
</table>
</file>

<file path=xl/tables/table19.xml><?xml version="1.0" encoding="utf-8"?>
<table xmlns="http://schemas.openxmlformats.org/spreadsheetml/2006/main" displayName="Table21" headerRowBorderDxfId="17" headerRowCount="1" headerRowDxfId="18" id="19" name="Table21" ref="A2:E12" tableBorderDxfId="16" totalsRowBorderDxfId="15" totalsRowShown="0">
  <autoFilter ref="A2:E12"/>
  <tableColumns count="5">
    <tableColumn dataDxfId="14" id="1" name="Budget Code"/>
    <tableColumn dataDxfId="13" id="2" name="Percentage(100%)"/>
    <tableColumn dataDxfId="12" id="3" name="Annual Budget"/>
    <tableColumn dataDxfId="11" id="4" name="Undisbursed Amount">
      <calculatedColumnFormula>C2-E2</calculatedColumnFormula>
    </tableColumn>
    <tableColumn dataDxfId="10" id="5" name="Annual Expenditure"/>
  </tableColumns>
  <tableStyleInfo name="TableStyleLight1" showColumnStripes="0" showFirstColumn="0" showLastColumn="0" showRowStripes="1"/>
</table>
</file>

<file path=xl/tables/table20.xml><?xml version="1.0" encoding="utf-8"?>
<table xmlns="http://schemas.openxmlformats.org/spreadsheetml/2006/main" displayName="Table791113" headerRowBorderDxfId="8" headerRowCount="1" headerRowDxfId="9" id="20" name="Table791113" ref="F2:G13" tableBorderDxfId="7" totalsRowBorderDxfId="6" totalsRowCount="1">
  <autoFilter ref="F2:G12"/>
  <tableColumns count="2">
    <tableColumn dataDxfId="5" id="1" name="Budget Code" totalsRowDxfId="4" totalsRowLabel="Annual Expenditure"/>
    <tableColumn dataDxfId="3" id="2" name="Withdrawal" totalsRowDxfId="2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21.xml><?xml version="1.0" encoding="utf-8"?>
<table xmlns="http://schemas.openxmlformats.org/spreadsheetml/2006/main" displayName="Table13" headerRowCount="1" id="21" name="Table13" ref="A2:D501" totalsRowShown="0">
  <autoFilter ref="A2:D501"/>
  <tableColumns count="4">
    <tableColumn id="1" name="Date"/>
    <tableColumn id="2" name="Budget Code"/>
    <tableColumn dataDxfId="1" id="3" name="Reason for withdrawal"/>
    <tableColumn dataDxfId="0" id="4" name="Withdrawal"/>
  </tableColumns>
  <tableStyleInfo name="TableStyleLight1" showColumnStripes="0" showFirstColumn="0" showLastColumn="0" showRowStripes="1"/>
</table>
</file>

<file path=xl/theme/theme1.xml><?xml version="1.0" encoding="utf-8"?>
<a:theme xmlns:a="http://schemas.openxmlformats.org/drawingml/2006/main" name="Retrospect">
  <a:themeElements>
    <a:clrScheme name="Retrospect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Retrospect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Retro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hade val="92000"/>
                <a:satMod val="130000"/>
              </a:schemeClr>
            </a:gs>
            <a:gs pos="45000">
              <a:schemeClr val="phClr">
                <a:tint val="60000"/>
                <a:shade val="99000"/>
                <a:satMod val="120000"/>
              </a:schemeClr>
            </a:gs>
            <a:gs pos="100000">
              <a:schemeClr val="phClr">
                <a:tint val="55000"/>
                <a:satMod val="14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  <a:satMod val="130000"/>
              </a:schemeClr>
            </a:gs>
            <a:gs pos="34000">
              <a:schemeClr val="phClr">
                <a:shade val="87000"/>
                <a:satMod val="125000"/>
              </a:schemeClr>
            </a:gs>
            <a:gs pos="70000">
              <a:schemeClr val="phClr">
                <a:tint val="100000"/>
                <a:shade val="90000"/>
                <a:satMod val="130000"/>
              </a:schemeClr>
            </a:gs>
            <a:gs pos="100000">
              <a:schemeClr val="phClr">
                <a:tint val="100000"/>
                <a:shade val="100000"/>
                <a:satMod val="11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4445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flat">
            <a:bevelT w="25400" h="31750"/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7000"/>
            <a:satMod val="130000"/>
          </a:schemeClr>
        </a:solidFill>
        <a:gradFill rotWithShape="1">
          <a:gsLst>
            <a:gs pos="0">
              <a:schemeClr val="phClr">
                <a:tint val="96000"/>
                <a:shade val="99000"/>
                <a:satMod val="140000"/>
              </a:schemeClr>
            </a:gs>
            <a:gs pos="65000">
              <a:schemeClr val="phClr">
                <a:tint val="100000"/>
                <a:shade val="80000"/>
                <a:satMod val="130000"/>
              </a:schemeClr>
            </a:gs>
            <a:gs pos="100000">
              <a:schemeClr val="phClr">
                <a:tint val="100000"/>
                <a:shade val="48000"/>
                <a:satMod val="120000"/>
              </a:schemeClr>
            </a:gs>
          </a:gsLst>
          <a:lin ang="162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Retrospect" id="{5F128B03-DCCA-4EEB-AB3B-CF2899314A46}" vid="{3F1AAB62-24C6-49D2-8E01-B56FAC9A3DCD}"/>
    </a:ext>
  </a:extLst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 /><Relationship Id="anysvml" Target="/xl/drawings/vmlDrawing1.vml" Type="http://schemas.openxmlformats.org/officeDocument/2006/relationships/vmlDrawing" /><Relationship Id="rId3" Target="/xl/pivotTables/pivotTable1.xml" Type="http://schemas.openxmlformats.org/officeDocument/2006/relationships/pivotTable" /></Relationships>
</file>

<file path=xl/worksheets/_rels/sheet2.xml.rels><Relationships xmlns="http://schemas.openxmlformats.org/package/2006/relationships"><Relationship Id="rId1" Target="/xl/drawings/drawing2.xml" Type="http://schemas.openxmlformats.org/officeDocument/2006/relationships/drawing" /><Relationship Id="rId2" Target="/xl/tables/table1.xml" Type="http://schemas.openxmlformats.org/officeDocument/2006/relationships/table" /></Relationships>
</file>

<file path=xl/worksheets/_rels/sheet3.xml.rels><Relationships xmlns="http://schemas.openxmlformats.org/package/2006/relationships"><Relationship Id="rId1" Target="/xl/drawings/drawing3.xml" Type="http://schemas.openxmlformats.org/officeDocument/2006/relationships/drawing" /><Relationship Id="rId2" Target="/xl/tables/table2.xml" Type="http://schemas.openxmlformats.org/officeDocument/2006/relationships/table" /></Relationships>
</file>

<file path=xl/worksheets/_rels/sheet4.xml.rels><Relationships xmlns="http://schemas.openxmlformats.org/package/2006/relationships"><Relationship Id="rId1" Target="/xl/tables/table3.xml" Type="http://schemas.openxmlformats.org/officeDocument/2006/relationships/table" /></Relationships>
</file>

<file path=xl/worksheets/_rels/sheet5.xml.rels><Relationships xmlns="http://schemas.openxmlformats.org/package/2006/relationships"><Relationship Id="rId1" Target="/xl/drawings/drawing4.xml" Type="http://schemas.openxmlformats.org/officeDocument/2006/relationships/drawing" /><Relationship Id="rId2" Target="/xl/tables/table4.xml" Type="http://schemas.openxmlformats.org/officeDocument/2006/relationships/table" /></Relationships>
</file>

<file path=xl/worksheets/_rels/sheet6.xml.rels><Relationships xmlns="http://schemas.openxmlformats.org/package/2006/relationships"><Relationship Id="rId1" Target="/xl/drawings/drawing5.xml" Type="http://schemas.openxmlformats.org/officeDocument/2006/relationships/drawing" /><Relationship Id="rId2" Target="/xl/tables/table5.xml" Type="http://schemas.openxmlformats.org/officeDocument/2006/relationships/table" /><Relationship Id="rId3" Target="/xl/tables/table6.xml" Type="http://schemas.openxmlformats.org/officeDocument/2006/relationships/table" /></Relationships>
</file>

<file path=xl/worksheets/_rels/sheet7.xml.rels><Relationships xmlns="http://schemas.openxmlformats.org/package/2006/relationships"><Relationship Id="rId1" Target="/xl/drawings/drawing6.xml" Type="http://schemas.openxmlformats.org/officeDocument/2006/relationships/drawing" /><Relationship Id="rId2" Target="/xl/tables/table7.xml" Type="http://schemas.openxmlformats.org/officeDocument/2006/relationships/table" /></Relationships>
</file>

<file path=xl/worksheets/_rels/sheet8.xml.rels><Relationships xmlns="http://schemas.openxmlformats.org/package/2006/relationships"><Relationship Id="rId1" Target="/xl/drawings/drawing7.xml" Type="http://schemas.openxmlformats.org/officeDocument/2006/relationships/drawing" /><Relationship Id="rId2" Target="/xl/tables/table8.xml" Type="http://schemas.openxmlformats.org/officeDocument/2006/relationships/table" /><Relationship Id="rId3" Target="/xl/tables/table9.xml" Type="http://schemas.openxmlformats.org/officeDocument/2006/relationships/table" /></Relationships>
</file>

<file path=xl/worksheets/_rels/sheet9.xml.rels><Relationships xmlns="http://schemas.openxmlformats.org/package/2006/relationships"><Relationship Id="rId1" Target="/xl/drawings/drawing8.xml" Type="http://schemas.openxmlformats.org/officeDocument/2006/relationships/drawing" /><Relationship Id="rId2" Target="/xl/tables/table10.xml" Type="http://schemas.openxmlformats.org/officeDocument/2006/relationships/table" /></Relationships>
</file>

<file path=xl/worksheets/_rels/sheet10.xml.rels><Relationships xmlns="http://schemas.openxmlformats.org/package/2006/relationships"><Relationship Id="rId1" Target="/xl/drawings/drawing9.xml" Type="http://schemas.openxmlformats.org/officeDocument/2006/relationships/drawing" /><Relationship Id="rId2" Target="/xl/tables/table11.xml" Type="http://schemas.openxmlformats.org/officeDocument/2006/relationships/table" /><Relationship Id="rId3" Target="/xl/tables/table12.xml" Type="http://schemas.openxmlformats.org/officeDocument/2006/relationships/table" /></Relationships>
</file>

<file path=xl/worksheets/_rels/sheet11.xml.rels><Relationships xmlns="http://schemas.openxmlformats.org/package/2006/relationships"><Relationship Id="rId1" Target="/xl/drawings/drawing10.xml" Type="http://schemas.openxmlformats.org/officeDocument/2006/relationships/drawing" /><Relationship Id="rId2" Target="/xl/tables/table13.xml" Type="http://schemas.openxmlformats.org/officeDocument/2006/relationships/table" /></Relationships>
</file>

<file path=xl/worksheets/_rels/sheet12.xml.rels><Relationships xmlns="http://schemas.openxmlformats.org/package/2006/relationships"><Relationship Id="rId1" Target="/xl/drawings/drawing11.xml" Type="http://schemas.openxmlformats.org/officeDocument/2006/relationships/drawing" /><Relationship Id="rId2" Target="/xl/tables/table14.xml" Type="http://schemas.openxmlformats.org/officeDocument/2006/relationships/table" /><Relationship Id="rId3" Target="/xl/tables/table15.xml" Type="http://schemas.openxmlformats.org/officeDocument/2006/relationships/table" /></Relationships>
</file>

<file path=xl/worksheets/_rels/sheet13.xml.rels><Relationships xmlns="http://schemas.openxmlformats.org/package/2006/relationships"><Relationship Id="rId1" Target="/xl/drawings/drawing12.xml" Type="http://schemas.openxmlformats.org/officeDocument/2006/relationships/drawing" /><Relationship Id="rId2" Target="/xl/tables/table16.xml" Type="http://schemas.openxmlformats.org/officeDocument/2006/relationships/table" /></Relationships>
</file>

<file path=xl/worksheets/_rels/sheet14.xml.rels><Relationships xmlns="http://schemas.openxmlformats.org/package/2006/relationships"><Relationship Id="rId1" Target="/xl/drawings/drawing13.xml" Type="http://schemas.openxmlformats.org/officeDocument/2006/relationships/drawing" /><Relationship Id="rId2" Target="/xl/tables/table17.xml" Type="http://schemas.openxmlformats.org/officeDocument/2006/relationships/table" /><Relationship Id="rId3" Target="/xl/tables/table18.xml" Type="http://schemas.openxmlformats.org/officeDocument/2006/relationships/table" /></Relationships>
</file>

<file path=xl/worksheets/_rels/sheet15.xml.rels><Relationships xmlns="http://schemas.openxmlformats.org/package/2006/relationships"><Relationship Id="rId1" Target="/xl/drawings/drawing14.xml" Type="http://schemas.openxmlformats.org/officeDocument/2006/relationships/drawing" /><Relationship Id="rId2" Target="/xl/tables/table19.xml" Type="http://schemas.openxmlformats.org/officeDocument/2006/relationships/table" /></Relationships>
</file>

<file path=xl/worksheets/_rels/sheet16.xml.rels><Relationships xmlns="http://schemas.openxmlformats.org/package/2006/relationships"><Relationship Id="rId1" Target="/xl/drawings/drawing15.xml" Type="http://schemas.openxmlformats.org/officeDocument/2006/relationships/drawing" /><Relationship Id="rId2" Target="/xl/tables/table20.xml" Type="http://schemas.openxmlformats.org/officeDocument/2006/relationships/table" /><Relationship Id="rId3" Target="/xl/tables/table2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1">
    <tabColor rgb="FFFF0000"/>
    <outlinePr summaryBelow="1" summaryRight="1"/>
    <pageSetUpPr fitToPage="1"/>
  </sheetPr>
  <dimension ref="A1:T100"/>
  <sheetViews>
    <sheetView workbookViewId="0">
      <selection activeCell="G10" sqref="G10"/>
    </sheetView>
  </sheetViews>
  <sheetFormatPr baseColWidth="8" defaultRowHeight="15"/>
  <cols>
    <col customWidth="1" max="1" min="1" style="70" width="4.42578125"/>
    <col customWidth="1" max="4" min="4" style="70" width="10"/>
    <col customWidth="1" max="5" min="5" style="70" width="7.140625"/>
    <col customWidth="1" max="6" min="6" style="70" width="23"/>
    <col customWidth="1" max="7" min="7" style="70" width="18.7109375"/>
    <col customWidth="1" max="8" min="8" style="70" width="3.140625"/>
    <col customWidth="1" max="9" min="9" style="70" width="12.7109375"/>
    <col customWidth="1" max="16" min="10" style="70" width="11.5703125"/>
  </cols>
  <sheetData>
    <row r="1">
      <c r="A1" s="45" t="n"/>
      <c r="B1" s="45" t="n"/>
      <c r="C1" s="45" t="n"/>
      <c r="D1" s="45" t="n"/>
      <c r="E1" s="46" t="n"/>
      <c r="F1" s="45" t="n"/>
      <c r="G1" s="45" t="n"/>
      <c r="H1" s="45" t="n"/>
      <c r="I1" s="45" t="n"/>
      <c r="J1" s="45" t="n"/>
      <c r="K1" s="45" t="n"/>
      <c r="L1" s="45" t="n"/>
      <c r="M1" s="45" t="n"/>
      <c r="N1" s="45" t="n"/>
      <c r="O1" s="45" t="n"/>
      <c r="P1" s="45" t="n"/>
      <c r="Q1" s="45" t="n"/>
      <c r="R1" s="45" t="n"/>
      <c r="S1" s="45" t="n"/>
      <c r="T1" s="45" t="n"/>
    </row>
    <row customHeight="1" ht="30" r="2" s="70">
      <c r="A2" s="45" t="n"/>
      <c r="B2" s="69" t="inlineStr">
        <is>
          <t>Report to the AAU Finance</t>
        </is>
      </c>
      <c r="E2" s="46" t="n"/>
      <c r="F2" s="47" t="n"/>
      <c r="G2" s="47" t="n"/>
      <c r="H2" s="47" t="n"/>
      <c r="I2" s="45" t="n"/>
      <c r="J2" s="45" t="n"/>
      <c r="K2" s="45" t="n"/>
      <c r="L2" s="45" t="n"/>
      <c r="M2" s="45" t="n"/>
      <c r="N2" s="45" t="n"/>
      <c r="O2" s="45" t="n"/>
      <c r="P2" s="45" t="n"/>
      <c r="Q2" s="45" t="n"/>
      <c r="R2" s="45" t="n"/>
      <c r="S2" s="45" t="n"/>
      <c r="T2" s="45" t="n"/>
    </row>
    <row r="3">
      <c r="A3" s="45" t="n"/>
      <c r="B3" s="45" t="n"/>
      <c r="C3" s="45" t="n"/>
      <c r="D3" s="45" t="n"/>
      <c r="E3" s="46" t="n"/>
      <c r="F3" s="53" t="n"/>
      <c r="G3" s="45" t="n"/>
      <c r="H3" s="52" t="n"/>
      <c r="I3" s="52" t="n"/>
      <c r="J3" s="52" t="n"/>
      <c r="K3" s="45" t="n"/>
      <c r="L3" s="45" t="n"/>
      <c r="M3" s="45" t="n"/>
      <c r="N3" s="45" t="n"/>
      <c r="O3" s="45" t="n"/>
      <c r="P3" s="45" t="n"/>
      <c r="Q3" s="45" t="n"/>
      <c r="R3" s="45" t="n"/>
      <c r="S3" s="45" t="n"/>
      <c r="T3" s="45" t="n"/>
    </row>
    <row r="4">
      <c r="A4" s="45" t="n"/>
      <c r="B4" s="45" t="n"/>
      <c r="C4" s="45" t="n"/>
      <c r="D4" s="45" t="n"/>
      <c r="E4" s="46" t="n"/>
      <c r="F4" s="48" t="n"/>
      <c r="G4" s="48" t="n"/>
      <c r="H4" s="52" t="n"/>
      <c r="I4" s="52" t="n"/>
      <c r="J4" s="52" t="n"/>
      <c r="K4" s="45" t="n"/>
      <c r="L4" s="45" t="n"/>
      <c r="M4" s="45" t="n"/>
      <c r="N4" s="45" t="n"/>
      <c r="O4" s="45" t="n"/>
      <c r="P4" s="45" t="n"/>
      <c r="Q4" s="45" t="n"/>
      <c r="R4" s="45" t="n"/>
      <c r="S4" s="45" t="n"/>
      <c r="T4" s="45" t="n"/>
    </row>
    <row r="5">
      <c r="A5" s="45" t="n"/>
      <c r="B5" s="45" t="n"/>
      <c r="C5" s="45" t="n"/>
      <c r="D5" s="45" t="n"/>
      <c r="E5" s="46" t="n"/>
      <c r="F5" s="45" t="inlineStr">
        <is>
          <t>AAiT Expenditure report of its the departments</t>
        </is>
      </c>
      <c r="G5" s="45" t="n"/>
      <c r="H5" s="52" t="n"/>
      <c r="I5" s="52" t="n"/>
      <c r="J5" s="52" t="n"/>
      <c r="K5" s="45" t="n"/>
      <c r="L5" s="45" t="n"/>
      <c r="M5" s="45" t="n"/>
      <c r="N5" s="45" t="n"/>
      <c r="O5" s="45" t="n"/>
      <c r="P5" s="45" t="n"/>
      <c r="Q5" s="45" t="n"/>
      <c r="R5" s="45" t="n"/>
      <c r="S5" s="45" t="n"/>
      <c r="T5" s="45" t="n"/>
    </row>
    <row r="6">
      <c r="A6" s="45" t="n"/>
      <c r="B6" s="45" t="n"/>
      <c r="C6" s="45" t="n"/>
      <c r="D6" s="45" t="n"/>
      <c r="E6" s="46" t="n"/>
      <c r="F6" s="45" t="n"/>
      <c r="G6" s="45" t="n"/>
      <c r="H6" s="52" t="n"/>
      <c r="I6" s="52" t="n"/>
      <c r="J6" s="52" t="n"/>
      <c r="K6" s="45" t="n"/>
      <c r="L6" s="45" t="n"/>
      <c r="M6" s="45" t="n"/>
      <c r="N6" s="45" t="n"/>
      <c r="O6" s="45" t="n"/>
      <c r="P6" s="45" t="n"/>
      <c r="Q6" s="45" t="n"/>
      <c r="R6" s="45" t="n"/>
      <c r="S6" s="45" t="n"/>
      <c r="T6" s="45" t="n"/>
    </row>
    <row r="7">
      <c r="A7" s="45" t="n"/>
      <c r="B7" s="45" t="n"/>
      <c r="C7" s="45" t="n"/>
      <c r="D7" s="45" t="n"/>
      <c r="E7" s="46" t="n"/>
      <c r="F7" s="57" t="inlineStr">
        <is>
          <t>Row Labels</t>
        </is>
      </c>
      <c r="G7" t="inlineStr">
        <is>
          <t>Sum of Expenditure</t>
        </is>
      </c>
      <c r="H7" s="45" t="n"/>
      <c r="I7" s="45" t="n"/>
      <c r="J7" s="45" t="n"/>
      <c r="K7" s="45" t="n"/>
      <c r="L7" s="45" t="n"/>
      <c r="M7" s="45" t="n"/>
      <c r="N7" s="45" t="n"/>
      <c r="O7" s="45" t="n"/>
      <c r="P7" s="45" t="n"/>
      <c r="Q7" s="45" t="n"/>
      <c r="R7" s="45" t="n"/>
      <c r="S7" s="45" t="n"/>
      <c r="T7" s="45" t="n"/>
    </row>
    <row customHeight="1" ht="15.75" r="8" s="70">
      <c r="A8" s="45" t="n"/>
      <c r="B8" s="69" t="n"/>
      <c r="E8" s="46" t="n"/>
      <c r="F8" s="2" t="inlineStr">
        <is>
          <t>Bio-medical Engineering</t>
        </is>
      </c>
      <c r="G8" s="40" t="n">
        <v>0</v>
      </c>
      <c r="H8" s="45" t="n"/>
      <c r="I8" s="45" t="n"/>
      <c r="J8" s="45" t="n"/>
      <c r="K8" s="45" t="n"/>
      <c r="L8" s="45" t="n"/>
      <c r="M8" s="45" t="n"/>
      <c r="N8" s="45" t="n"/>
      <c r="O8" s="45" t="n"/>
      <c r="P8" s="45" t="n"/>
      <c r="Q8" s="45" t="n"/>
      <c r="R8" s="45" t="n"/>
      <c r="S8" s="45" t="n"/>
      <c r="T8" s="45" t="n"/>
    </row>
    <row r="9">
      <c r="A9" s="45" t="n"/>
      <c r="B9" s="45" t="n"/>
      <c r="C9" s="45" t="n"/>
      <c r="D9" s="45" t="n"/>
      <c r="E9" s="46" t="n"/>
      <c r="F9" s="2" t="inlineStr">
        <is>
          <t>Chemical Engineering</t>
        </is>
      </c>
      <c r="G9" s="40" t="n">
        <v>0</v>
      </c>
      <c r="H9" s="45" t="n"/>
      <c r="I9" s="45" t="n"/>
      <c r="J9" s="45" t="n"/>
      <c r="K9" s="45" t="n"/>
      <c r="L9" s="45" t="n"/>
      <c r="M9" s="45" t="n"/>
      <c r="N9" s="45" t="n"/>
      <c r="O9" s="45" t="n"/>
      <c r="P9" s="45" t="n"/>
      <c r="Q9" s="45" t="n"/>
      <c r="R9" s="45" t="n"/>
      <c r="S9" s="45" t="n"/>
      <c r="T9" s="45" t="n"/>
    </row>
    <row r="10">
      <c r="A10" s="45" t="n"/>
      <c r="B10" s="45" t="n"/>
      <c r="C10" s="45" t="n"/>
      <c r="D10" s="45" t="n"/>
      <c r="E10" s="46" t="n"/>
      <c r="F10" s="2" t="inlineStr">
        <is>
          <t>Civil Engineering</t>
        </is>
      </c>
      <c r="G10" s="40" t="n">
        <v>0</v>
      </c>
      <c r="H10" s="45" t="n"/>
      <c r="I10" s="45" t="n"/>
      <c r="J10" s="45" t="n"/>
      <c r="K10" s="45" t="n"/>
      <c r="L10" s="45" t="n"/>
      <c r="M10" s="45" t="n"/>
      <c r="N10" s="45" t="n"/>
      <c r="O10" s="45" t="n"/>
      <c r="P10" s="45" t="n"/>
      <c r="Q10" s="45" t="n"/>
      <c r="R10" s="45" t="n"/>
      <c r="S10" s="45" t="n"/>
      <c r="T10" s="45" t="n"/>
    </row>
    <row r="11">
      <c r="A11" s="45" t="n"/>
      <c r="B11" s="45" t="n"/>
      <c r="C11" s="45" t="n"/>
      <c r="D11" s="45" t="n"/>
      <c r="E11" s="46" t="n"/>
      <c r="F11" s="2" t="inlineStr">
        <is>
          <t>Electrical Engineering</t>
        </is>
      </c>
      <c r="G11" s="40" t="n">
        <v>0</v>
      </c>
      <c r="H11" s="45" t="n"/>
      <c r="I11" s="45" t="n"/>
      <c r="J11" s="45" t="n"/>
      <c r="K11" s="45" t="n"/>
      <c r="L11" s="45" t="n"/>
      <c r="M11" s="45" t="n"/>
      <c r="N11" s="45" t="n"/>
      <c r="O11" s="45" t="n"/>
      <c r="P11" s="45" t="n"/>
      <c r="Q11" s="45" t="n"/>
      <c r="R11" s="45" t="n"/>
      <c r="S11" s="45" t="n"/>
      <c r="T11" s="45" t="n"/>
    </row>
    <row r="12">
      <c r="A12" s="45" t="n"/>
      <c r="B12" s="45" t="n"/>
      <c r="C12" s="45" t="n"/>
      <c r="D12" s="45" t="n"/>
      <c r="E12" s="46" t="n"/>
      <c r="F12" s="2" t="inlineStr">
        <is>
          <t>ITSC</t>
        </is>
      </c>
      <c r="G12" s="40" t="n">
        <v>40</v>
      </c>
      <c r="H12" s="45" t="n"/>
      <c r="I12" s="45" t="n"/>
      <c r="J12" s="45" t="n"/>
      <c r="K12" s="45" t="n"/>
      <c r="L12" s="45" t="n"/>
      <c r="M12" s="45" t="n"/>
      <c r="N12" s="45" t="n"/>
      <c r="O12" s="45" t="n"/>
      <c r="P12" s="45" t="n"/>
      <c r="Q12" s="45" t="n"/>
      <c r="R12" s="45" t="n"/>
      <c r="S12" s="45" t="n"/>
      <c r="T12" s="45" t="n"/>
    </row>
    <row r="13">
      <c r="A13" s="45" t="n"/>
      <c r="B13" s="45" t="n"/>
      <c r="C13" s="45" t="n"/>
      <c r="D13" s="45" t="n"/>
      <c r="E13" s="46" t="n"/>
      <c r="F13" s="2" t="inlineStr">
        <is>
          <t>Mechanical Engineering</t>
        </is>
      </c>
      <c r="G13" s="40" t="n">
        <v>0</v>
      </c>
      <c r="H13" s="45" t="n"/>
      <c r="I13" s="45" t="n"/>
      <c r="J13" s="45" t="n"/>
      <c r="K13" s="45" t="n"/>
      <c r="L13" s="45" t="n"/>
      <c r="M13" s="45" t="n"/>
      <c r="N13" s="45" t="n"/>
      <c r="O13" s="45" t="n"/>
      <c r="P13" s="45" t="n"/>
      <c r="Q13" s="45" t="n"/>
      <c r="R13" s="45" t="n"/>
      <c r="S13" s="45" t="n"/>
      <c r="T13" s="45" t="n"/>
    </row>
    <row r="14">
      <c r="A14" s="45" t="n"/>
      <c r="B14" s="71" t="n"/>
      <c r="E14" s="46" t="n"/>
      <c r="F14" s="2" t="inlineStr">
        <is>
          <t>Grand Total</t>
        </is>
      </c>
      <c r="G14" s="40" t="n">
        <v>40</v>
      </c>
      <c r="H14" s="45" t="n"/>
      <c r="I14" s="45" t="n"/>
      <c r="J14" s="45" t="n"/>
      <c r="K14" s="45" t="n"/>
      <c r="L14" s="45" t="n"/>
      <c r="M14" s="45" t="n"/>
      <c r="N14" s="45" t="n"/>
      <c r="O14" s="45" t="n"/>
      <c r="P14" s="45" t="n"/>
      <c r="Q14" s="45" t="n"/>
      <c r="R14" s="45" t="n"/>
      <c r="S14" s="45" t="n"/>
      <c r="T14" s="45" t="n"/>
    </row>
    <row r="15">
      <c r="A15" s="45" t="n"/>
      <c r="B15" s="45" t="n"/>
      <c r="C15" s="45" t="n"/>
      <c r="D15" s="45" t="n"/>
      <c r="E15" s="46" t="n"/>
      <c r="F15" s="45" t="n"/>
      <c r="G15" s="45" t="n"/>
      <c r="H15" s="45" t="n"/>
      <c r="I15" s="45" t="n"/>
      <c r="J15" s="45" t="n"/>
      <c r="K15" s="45" t="n"/>
      <c r="L15" s="45" t="n"/>
      <c r="M15" s="45" t="n"/>
      <c r="N15" s="45" t="n"/>
      <c r="O15" s="45" t="n"/>
      <c r="P15" s="45" t="n"/>
      <c r="Q15" s="45" t="n"/>
      <c r="R15" s="45" t="n"/>
      <c r="S15" s="45" t="n"/>
      <c r="T15" s="45" t="n"/>
    </row>
    <row r="16">
      <c r="A16" s="45" t="n"/>
      <c r="B16" s="45" t="n"/>
      <c r="C16" s="45" t="n"/>
      <c r="D16" s="45" t="n"/>
      <c r="E16" s="46" t="n"/>
      <c r="F16" s="45" t="n"/>
      <c r="G16" s="45" t="n"/>
      <c r="H16" s="45" t="n"/>
      <c r="I16" s="45" t="n"/>
      <c r="J16" s="45" t="n"/>
      <c r="K16" s="45" t="n"/>
      <c r="L16" s="45" t="n"/>
      <c r="M16" s="45" t="n"/>
      <c r="N16" s="45" t="n"/>
      <c r="O16" s="45" t="n"/>
      <c r="P16" s="45" t="n"/>
      <c r="Q16" s="45" t="n"/>
      <c r="R16" s="45" t="n"/>
      <c r="S16" s="45" t="n"/>
      <c r="T16" s="45" t="n"/>
    </row>
    <row r="17">
      <c r="A17" s="45" t="n"/>
      <c r="B17" s="45" t="n"/>
      <c r="C17" s="45" t="n"/>
      <c r="D17" s="45" t="n"/>
      <c r="E17" s="46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45" t="n"/>
      <c r="O17" s="45" t="n"/>
      <c r="P17" s="45" t="n"/>
      <c r="Q17" s="45" t="n"/>
      <c r="R17" s="45" t="n"/>
      <c r="S17" s="45" t="n"/>
      <c r="T17" s="45" t="n"/>
    </row>
    <row r="18">
      <c r="A18" s="45" t="n"/>
      <c r="B18" s="45" t="n"/>
      <c r="C18" s="45" t="n"/>
      <c r="D18" s="45" t="n"/>
      <c r="E18" s="46" t="n"/>
      <c r="F18" s="45" t="n"/>
      <c r="G18" s="45" t="n"/>
      <c r="H18" s="45" t="n"/>
      <c r="I18" s="45" t="n"/>
      <c r="J18" s="45" t="n"/>
      <c r="K18" s="45" t="n"/>
      <c r="L18" s="45" t="n"/>
      <c r="M18" s="45" t="n"/>
      <c r="N18" s="45" t="n"/>
      <c r="O18" s="45" t="n"/>
      <c r="P18" s="45" t="n"/>
      <c r="Q18" s="45" t="n"/>
      <c r="R18" s="45" t="n"/>
      <c r="S18" s="45" t="n"/>
      <c r="T18" s="45" t="n"/>
    </row>
    <row r="19">
      <c r="A19" s="45" t="n"/>
      <c r="B19" s="45" t="n"/>
      <c r="C19" s="45" t="n"/>
      <c r="D19" s="45" t="n"/>
      <c r="E19" s="46" t="n"/>
      <c r="F19" s="45" t="n"/>
      <c r="G19" s="45" t="n"/>
      <c r="H19" s="45" t="n"/>
      <c r="I19" s="45" t="n"/>
      <c r="J19" s="45" t="n"/>
      <c r="K19" s="45" t="n"/>
      <c r="L19" s="45" t="n"/>
      <c r="M19" s="45" t="n"/>
      <c r="N19" s="45" t="n"/>
      <c r="O19" s="45" t="n"/>
      <c r="P19" s="45" t="n"/>
      <c r="Q19" s="45" t="n"/>
      <c r="R19" s="45" t="n"/>
      <c r="S19" s="45" t="n"/>
      <c r="T19" s="45" t="n"/>
    </row>
    <row r="20">
      <c r="A20" s="45" t="n"/>
      <c r="B20" s="45" t="n"/>
      <c r="C20" s="45" t="n"/>
      <c r="D20" s="45" t="n"/>
      <c r="E20" s="46" t="n"/>
      <c r="F20" s="45" t="n"/>
      <c r="G20" s="45" t="n"/>
      <c r="H20" s="45" t="n"/>
      <c r="I20" s="45" t="n"/>
      <c r="J20" s="45" t="n"/>
      <c r="K20" s="45" t="n"/>
      <c r="L20" s="45" t="n"/>
      <c r="M20" s="45" t="n"/>
      <c r="N20" s="45" t="n"/>
      <c r="O20" s="45" t="n"/>
      <c r="P20" s="45" t="n"/>
      <c r="Q20" s="45" t="n"/>
      <c r="R20" s="45" t="n"/>
      <c r="S20" s="45" t="n"/>
      <c r="T20" s="45" t="n"/>
    </row>
    <row r="21">
      <c r="A21" s="45" t="n"/>
      <c r="B21" s="45" t="n"/>
      <c r="C21" s="45" t="n"/>
      <c r="D21" s="45" t="n"/>
      <c r="E21" s="46" t="n"/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45" t="n"/>
      <c r="P21" s="45" t="n"/>
      <c r="Q21" s="45" t="n"/>
      <c r="R21" s="45" t="n"/>
      <c r="S21" s="45" t="n"/>
      <c r="T21" s="45" t="n"/>
    </row>
    <row r="22">
      <c r="A22" s="45" t="n"/>
      <c r="B22" s="45" t="n"/>
      <c r="C22" s="45" t="n"/>
      <c r="D22" s="45" t="n"/>
      <c r="E22" s="46" t="n"/>
      <c r="F22" s="45" t="n"/>
      <c r="G22" s="45" t="n"/>
      <c r="H22" s="45" t="n"/>
      <c r="I22" s="45" t="n"/>
      <c r="J22" s="45" t="n"/>
      <c r="K22" s="45" t="n"/>
      <c r="L22" s="45" t="n"/>
      <c r="M22" s="45" t="n"/>
      <c r="N22" s="45" t="n"/>
      <c r="O22" s="45" t="n"/>
      <c r="P22" s="45" t="n"/>
      <c r="Q22" s="45" t="n"/>
      <c r="R22" s="45" t="n"/>
      <c r="S22" s="45" t="n"/>
      <c r="T22" s="45" t="n"/>
    </row>
    <row r="23">
      <c r="A23" s="45" t="n"/>
      <c r="B23" s="45" t="n"/>
      <c r="C23" s="45" t="n"/>
      <c r="D23" s="45" t="n"/>
      <c r="E23" s="46" t="n"/>
      <c r="F23" s="45" t="n"/>
      <c r="G23" s="48" t="n"/>
      <c r="H23" s="45" t="n"/>
      <c r="I23" s="45" t="n"/>
      <c r="J23" s="45" t="n"/>
      <c r="K23" s="45" t="n"/>
      <c r="L23" s="45" t="n"/>
      <c r="M23" s="45" t="n"/>
      <c r="N23" s="45" t="n"/>
      <c r="O23" s="45" t="n"/>
      <c r="P23" s="45" t="n"/>
      <c r="Q23" s="45" t="n"/>
      <c r="R23" s="45" t="n"/>
      <c r="S23" s="45" t="n"/>
      <c r="T23" s="45" t="n"/>
    </row>
    <row r="24">
      <c r="A24" s="45" t="n"/>
      <c r="B24" s="45" t="n"/>
      <c r="C24" s="45" t="n"/>
      <c r="D24" s="45" t="n"/>
      <c r="E24" s="46" t="n"/>
      <c r="F24" s="45" t="n"/>
      <c r="G24" s="45" t="n"/>
      <c r="H24" s="45" t="n"/>
      <c r="I24" s="45" t="n"/>
      <c r="J24" s="45" t="n"/>
      <c r="K24" s="45" t="n"/>
      <c r="L24" s="45" t="n"/>
      <c r="M24" s="45" t="n"/>
      <c r="N24" s="45" t="n"/>
      <c r="O24" s="45" t="n"/>
      <c r="P24" s="45" t="n"/>
      <c r="Q24" s="45" t="n"/>
      <c r="R24" s="45" t="n"/>
      <c r="S24" s="45" t="n"/>
      <c r="T24" s="45" t="n"/>
    </row>
    <row r="25">
      <c r="A25" s="45" t="n"/>
      <c r="B25" s="45" t="n"/>
      <c r="C25" s="45" t="n"/>
      <c r="D25" s="45" t="n"/>
      <c r="E25" s="46" t="n"/>
      <c r="F25" s="45" t="n"/>
      <c r="G25" s="45" t="n"/>
      <c r="H25" s="45" t="n"/>
      <c r="I25" s="45" t="n"/>
      <c r="J25" s="45" t="n"/>
      <c r="K25" s="45" t="n"/>
      <c r="L25" s="45" t="n"/>
      <c r="M25" s="45" t="n"/>
      <c r="N25" s="45" t="n"/>
      <c r="O25" s="45" t="n"/>
      <c r="P25" s="45" t="n"/>
      <c r="Q25" s="45" t="n"/>
      <c r="R25" s="45" t="n"/>
      <c r="S25" s="45" t="n"/>
      <c r="T25" s="45" t="n"/>
    </row>
    <row r="26">
      <c r="A26" s="45" t="n"/>
      <c r="B26" s="45" t="n"/>
      <c r="C26" s="45" t="n"/>
      <c r="D26" s="45" t="n"/>
      <c r="E26" s="46" t="n"/>
      <c r="F26" s="45" t="n"/>
      <c r="G26" s="45" t="n"/>
      <c r="H26" s="45" t="n"/>
      <c r="I26" s="45" t="n"/>
      <c r="J26" s="45" t="n"/>
      <c r="K26" s="45" t="n"/>
      <c r="L26" s="45" t="n"/>
      <c r="M26" s="45" t="n"/>
      <c r="N26" s="45" t="n"/>
      <c r="O26" s="45" t="n"/>
      <c r="P26" s="45" t="n"/>
      <c r="Q26" s="45" t="n"/>
      <c r="R26" s="45" t="n"/>
      <c r="S26" s="45" t="n"/>
      <c r="T26" s="45" t="n"/>
    </row>
    <row r="27">
      <c r="A27" s="45" t="n"/>
      <c r="B27" s="45" t="n"/>
      <c r="C27" s="45" t="n"/>
      <c r="D27" s="45" t="n"/>
      <c r="E27" s="46" t="n"/>
      <c r="F27" s="45" t="n"/>
      <c r="G27" s="45" t="n"/>
      <c r="H27" s="45" t="n"/>
      <c r="I27" s="45" t="n"/>
      <c r="J27" s="45" t="n"/>
      <c r="K27" s="45" t="n"/>
      <c r="L27" s="45" t="n"/>
      <c r="M27" s="45" t="n"/>
      <c r="N27" s="45" t="n"/>
      <c r="O27" s="45" t="n"/>
      <c r="P27" s="45" t="n"/>
      <c r="Q27" s="45" t="n"/>
      <c r="R27" s="45" t="n"/>
      <c r="S27" s="45" t="n"/>
      <c r="T27" s="45" t="n"/>
    </row>
    <row r="28">
      <c r="A28" s="45" t="n"/>
      <c r="B28" s="45" t="n"/>
      <c r="C28" s="45" t="n"/>
      <c r="D28" s="45" t="n"/>
      <c r="E28" s="46" t="n"/>
      <c r="F28" s="45" t="n"/>
      <c r="G28" s="45" t="n"/>
      <c r="H28" s="45" t="n"/>
      <c r="I28" s="45" t="n"/>
      <c r="J28" s="45" t="n"/>
      <c r="K28" s="45" t="n"/>
      <c r="L28" s="45" t="n"/>
      <c r="M28" s="45" t="n"/>
      <c r="N28" s="45" t="n"/>
      <c r="O28" s="45" t="n"/>
      <c r="P28" s="45" t="n"/>
      <c r="Q28" s="45" t="n"/>
      <c r="R28" s="45" t="n"/>
      <c r="S28" s="45" t="n"/>
      <c r="T28" s="45" t="n"/>
    </row>
    <row r="29">
      <c r="A29" s="48" t="n"/>
      <c r="B29" s="48" t="n"/>
      <c r="C29" s="48" t="n"/>
      <c r="D29" s="48" t="n"/>
      <c r="E29" s="59" t="n"/>
      <c r="F29" s="48" t="n"/>
      <c r="G29" s="48" t="n"/>
      <c r="H29" s="48" t="n"/>
      <c r="I29" s="48" t="n"/>
      <c r="J29" s="48" t="n"/>
      <c r="K29" s="48" t="n"/>
      <c r="L29" s="48" t="n"/>
      <c r="M29" s="48" t="n"/>
      <c r="N29" s="48" t="n"/>
      <c r="O29" s="48" t="n"/>
      <c r="P29" s="48" t="n"/>
      <c r="Q29" s="48" t="n"/>
      <c r="R29" s="48" t="n"/>
      <c r="S29" s="48" t="n"/>
      <c r="T29" s="48" t="n"/>
    </row>
    <row r="30">
      <c r="A30" s="48" t="n"/>
      <c r="B30" s="48" t="n"/>
      <c r="C30" s="48" t="n"/>
      <c r="D30" s="48" t="n"/>
      <c r="E30" s="59" t="n"/>
      <c r="F30" s="48" t="n"/>
      <c r="G30" s="48" t="n"/>
      <c r="H30" s="48" t="n"/>
      <c r="I30" s="48" t="n"/>
      <c r="J30" s="48" t="n"/>
      <c r="K30" s="48" t="n"/>
      <c r="L30" s="48" t="n"/>
      <c r="M30" s="48" t="n"/>
      <c r="N30" s="48" t="n"/>
      <c r="O30" s="48" t="n"/>
      <c r="P30" s="48" t="n"/>
      <c r="Q30" s="48" t="n"/>
      <c r="R30" s="48" t="n"/>
      <c r="S30" s="48" t="n"/>
      <c r="T30" s="48" t="n"/>
    </row>
    <row r="31">
      <c r="A31" s="48" t="n"/>
      <c r="B31" s="48" t="n"/>
      <c r="C31" s="48" t="n"/>
      <c r="D31" s="48" t="n"/>
      <c r="E31" s="59" t="n"/>
      <c r="F31" s="48" t="n"/>
      <c r="G31" s="48" t="n"/>
      <c r="H31" s="48" t="n"/>
      <c r="I31" s="48" t="n"/>
      <c r="J31" s="48" t="n"/>
      <c r="K31" s="48" t="n"/>
      <c r="L31" s="48" t="n"/>
      <c r="M31" s="48" t="n"/>
      <c r="N31" s="48" t="n"/>
      <c r="O31" s="48" t="n"/>
      <c r="P31" s="48" t="n"/>
      <c r="Q31" s="48" t="n"/>
      <c r="R31" s="48" t="n"/>
      <c r="S31" s="48" t="n"/>
      <c r="T31" s="48" t="n"/>
    </row>
    <row r="32">
      <c r="A32" s="48" t="n"/>
      <c r="B32" s="48" t="n"/>
      <c r="C32" s="48" t="n"/>
      <c r="D32" s="48" t="n"/>
      <c r="E32" s="59" t="n"/>
      <c r="F32" s="48" t="n"/>
      <c r="G32" s="48" t="n"/>
      <c r="H32" s="48" t="n"/>
      <c r="I32" s="48" t="n"/>
      <c r="J32" s="48" t="n"/>
      <c r="K32" s="48" t="n"/>
      <c r="L32" s="48" t="n"/>
      <c r="M32" s="48" t="n"/>
      <c r="N32" s="48" t="n"/>
      <c r="O32" s="48" t="n"/>
      <c r="P32" s="48" t="n"/>
      <c r="Q32" s="48" t="n"/>
      <c r="R32" s="48" t="n"/>
      <c r="S32" s="48" t="n"/>
      <c r="T32" s="48" t="n"/>
    </row>
    <row r="33">
      <c r="A33" s="48" t="n"/>
      <c r="B33" s="48" t="n"/>
      <c r="C33" s="48" t="n"/>
      <c r="D33" s="48" t="n"/>
      <c r="E33" s="59" t="n"/>
      <c r="F33" s="48" t="n"/>
      <c r="G33" s="48" t="n"/>
      <c r="H33" s="48" t="n"/>
      <c r="I33" s="48" t="n"/>
      <c r="J33" s="48" t="n"/>
      <c r="K33" s="48" t="n"/>
      <c r="L33" s="48" t="n"/>
      <c r="M33" s="48" t="n"/>
      <c r="N33" s="48" t="n"/>
      <c r="O33" s="48" t="n"/>
      <c r="P33" s="48" t="n"/>
      <c r="Q33" s="48" t="n"/>
      <c r="R33" s="48" t="n"/>
      <c r="S33" s="48" t="n"/>
      <c r="T33" s="48" t="n"/>
    </row>
    <row r="34">
      <c r="A34" s="48" t="n"/>
      <c r="B34" s="48" t="n"/>
      <c r="C34" s="48" t="n"/>
      <c r="D34" s="48" t="n"/>
      <c r="E34" s="59" t="n"/>
      <c r="F34" s="48" t="n"/>
      <c r="G34" s="48" t="n"/>
      <c r="H34" s="48" t="n"/>
      <c r="I34" s="48" t="n"/>
      <c r="J34" s="48" t="n"/>
      <c r="K34" s="48" t="n"/>
      <c r="L34" s="48" t="n"/>
      <c r="M34" s="48" t="n"/>
      <c r="N34" s="48" t="n"/>
      <c r="O34" s="48" t="n"/>
      <c r="P34" s="48" t="n"/>
      <c r="Q34" s="48" t="n"/>
      <c r="R34" s="48" t="n"/>
      <c r="S34" s="48" t="n"/>
      <c r="T34" s="48" t="n"/>
    </row>
    <row r="35">
      <c r="A35" s="48" t="n"/>
      <c r="B35" s="48" t="n"/>
      <c r="C35" s="48" t="n"/>
      <c r="D35" s="48" t="n"/>
      <c r="E35" s="59" t="n"/>
      <c r="F35" s="48" t="n"/>
      <c r="G35" s="48" t="n"/>
      <c r="H35" s="48" t="n"/>
      <c r="I35" s="48" t="n"/>
      <c r="J35" s="48" t="n"/>
      <c r="K35" s="48" t="n"/>
      <c r="L35" s="48" t="n"/>
      <c r="M35" s="48" t="n"/>
      <c r="N35" s="48" t="n"/>
      <c r="O35" s="48" t="n"/>
      <c r="P35" s="48" t="n"/>
      <c r="Q35" s="48" t="n"/>
      <c r="R35" s="48" t="n"/>
      <c r="S35" s="48" t="n"/>
      <c r="T35" s="48" t="n"/>
    </row>
    <row r="36">
      <c r="A36" s="48" t="n"/>
      <c r="B36" s="48" t="n"/>
      <c r="C36" s="48" t="n"/>
      <c r="D36" s="48" t="n"/>
      <c r="E36" s="59" t="n"/>
      <c r="F36" s="48" t="n"/>
      <c r="G36" s="48" t="n"/>
      <c r="H36" s="48" t="n"/>
      <c r="I36" s="48" t="n"/>
      <c r="J36" s="48" t="n"/>
      <c r="K36" s="48" t="n"/>
      <c r="L36" s="48" t="n"/>
      <c r="M36" s="48" t="n"/>
      <c r="N36" s="48" t="n"/>
      <c r="O36" s="48" t="n"/>
      <c r="P36" s="48" t="n"/>
      <c r="Q36" s="48" t="n"/>
      <c r="R36" s="48" t="n"/>
      <c r="S36" s="48" t="n"/>
      <c r="T36" s="48" t="n"/>
    </row>
    <row r="37">
      <c r="A37" s="48" t="n"/>
      <c r="B37" s="48" t="n"/>
      <c r="C37" s="48" t="n"/>
      <c r="D37" s="48" t="n"/>
      <c r="E37" s="59" t="n"/>
      <c r="F37" s="48" t="n"/>
      <c r="G37" s="48" t="n"/>
      <c r="H37" s="48" t="n"/>
      <c r="I37" s="48" t="n"/>
      <c r="J37" s="48" t="n"/>
      <c r="K37" s="48" t="n"/>
      <c r="L37" s="48" t="n"/>
      <c r="M37" s="48" t="n"/>
      <c r="N37" s="48" t="n"/>
      <c r="O37" s="48" t="n"/>
      <c r="P37" s="48" t="n"/>
      <c r="Q37" s="48" t="n"/>
      <c r="R37" s="48" t="n"/>
      <c r="S37" s="48" t="n"/>
      <c r="T37" s="48" t="n"/>
    </row>
    <row r="38">
      <c r="A38" s="48" t="n"/>
      <c r="B38" s="48" t="n"/>
      <c r="C38" s="48" t="n"/>
      <c r="D38" s="48" t="n"/>
      <c r="E38" s="59" t="n"/>
      <c r="F38" s="48" t="n"/>
      <c r="G38" s="48" t="n"/>
      <c r="H38" s="48" t="n"/>
      <c r="I38" s="48" t="n"/>
      <c r="J38" s="48" t="n"/>
      <c r="K38" s="48" t="n"/>
      <c r="L38" s="48" t="n"/>
      <c r="M38" s="48" t="n"/>
      <c r="N38" s="48" t="n"/>
      <c r="O38" s="48" t="n"/>
      <c r="P38" s="48" t="n"/>
      <c r="Q38" s="48" t="n"/>
      <c r="R38" s="48" t="n"/>
      <c r="S38" s="48" t="n"/>
      <c r="T38" s="48" t="n"/>
    </row>
    <row r="39">
      <c r="A39" s="48" t="n"/>
      <c r="B39" s="48" t="n"/>
      <c r="C39" s="48" t="n"/>
      <c r="D39" s="48" t="n"/>
      <c r="E39" s="59" t="n"/>
      <c r="F39" s="48" t="n"/>
      <c r="G39" s="48" t="n"/>
      <c r="H39" s="48" t="n"/>
      <c r="I39" s="48" t="n"/>
      <c r="J39" s="48" t="n"/>
      <c r="K39" s="48" t="n"/>
      <c r="L39" s="48" t="n"/>
      <c r="M39" s="48" t="n"/>
      <c r="N39" s="48" t="n"/>
      <c r="O39" s="48" t="n"/>
      <c r="P39" s="48" t="n"/>
      <c r="Q39" s="48" t="n"/>
      <c r="R39" s="48" t="n"/>
      <c r="S39" s="48" t="n"/>
      <c r="T39" s="48" t="n"/>
    </row>
    <row r="40">
      <c r="A40" s="48" t="n"/>
      <c r="B40" s="48" t="n"/>
      <c r="C40" s="48" t="n"/>
      <c r="D40" s="48" t="n"/>
      <c r="E40" s="59" t="n"/>
      <c r="F40" s="48" t="n"/>
      <c r="G40" s="48" t="n"/>
      <c r="H40" s="48" t="n"/>
      <c r="I40" s="48" t="n"/>
      <c r="J40" s="48" t="n"/>
      <c r="K40" s="48" t="n"/>
      <c r="L40" s="48" t="n"/>
      <c r="M40" s="48" t="n"/>
      <c r="N40" s="48" t="n"/>
      <c r="O40" s="48" t="n"/>
      <c r="P40" s="48" t="n"/>
      <c r="Q40" s="48" t="n"/>
      <c r="R40" s="48" t="n"/>
      <c r="S40" s="48" t="n"/>
      <c r="T40" s="48" t="n"/>
    </row>
    <row r="41">
      <c r="A41" s="48" t="n"/>
      <c r="B41" s="48" t="n"/>
      <c r="C41" s="48" t="n"/>
      <c r="D41" s="48" t="n"/>
      <c r="E41" s="59" t="n"/>
      <c r="F41" s="48" t="n"/>
      <c r="G41" s="48" t="n"/>
      <c r="H41" s="48" t="n"/>
      <c r="I41" s="48" t="n"/>
      <c r="J41" s="48" t="n"/>
      <c r="K41" s="48" t="n"/>
      <c r="L41" s="48" t="n"/>
      <c r="M41" s="48" t="n"/>
      <c r="N41" s="48" t="n"/>
      <c r="O41" s="48" t="n"/>
      <c r="P41" s="48" t="n"/>
      <c r="Q41" s="48" t="n"/>
      <c r="R41" s="48" t="n"/>
      <c r="S41" s="48" t="n"/>
      <c r="T41" s="48" t="n"/>
    </row>
    <row r="42">
      <c r="A42" s="48" t="n"/>
      <c r="B42" s="48" t="n"/>
      <c r="C42" s="48" t="n"/>
      <c r="D42" s="48" t="n"/>
      <c r="E42" s="59" t="n"/>
      <c r="F42" s="48" t="n"/>
      <c r="G42" s="48" t="n"/>
      <c r="H42" s="48" t="n"/>
      <c r="I42" s="48" t="n"/>
      <c r="J42" s="48" t="n"/>
      <c r="K42" s="48" t="n"/>
      <c r="L42" s="48" t="n"/>
      <c r="M42" s="48" t="n"/>
      <c r="N42" s="48" t="n"/>
      <c r="O42" s="48" t="n"/>
      <c r="P42" s="48" t="n"/>
      <c r="Q42" s="48" t="n"/>
      <c r="R42" s="48" t="n"/>
      <c r="S42" s="48" t="n"/>
      <c r="T42" s="48" t="n"/>
    </row>
    <row r="43">
      <c r="A43" s="48" t="n"/>
      <c r="B43" s="48" t="n"/>
      <c r="C43" s="48" t="n"/>
      <c r="D43" s="48" t="n"/>
      <c r="E43" s="59" t="n"/>
      <c r="F43" s="48" t="n"/>
      <c r="G43" s="48" t="n"/>
      <c r="H43" s="48" t="n"/>
      <c r="I43" s="48" t="n"/>
      <c r="J43" s="48" t="n"/>
      <c r="K43" s="48" t="n"/>
      <c r="L43" s="48" t="n"/>
      <c r="M43" s="48" t="n"/>
      <c r="N43" s="48" t="n"/>
      <c r="O43" s="48" t="n"/>
      <c r="P43" s="48" t="n"/>
      <c r="Q43" s="48" t="n"/>
      <c r="R43" s="48" t="n"/>
      <c r="S43" s="48" t="n"/>
      <c r="T43" s="48" t="n"/>
    </row>
    <row r="44">
      <c r="A44" s="48" t="n"/>
      <c r="B44" s="48" t="n"/>
      <c r="C44" s="48" t="n"/>
      <c r="D44" s="48" t="n"/>
      <c r="E44" s="59" t="n"/>
      <c r="F44" s="48" t="n"/>
      <c r="G44" s="48" t="n"/>
      <c r="H44" s="48" t="n"/>
      <c r="I44" s="48" t="n"/>
      <c r="J44" s="48" t="n"/>
      <c r="K44" s="48" t="n"/>
      <c r="L44" s="48" t="n"/>
      <c r="M44" s="48" t="n"/>
      <c r="N44" s="48" t="n"/>
      <c r="O44" s="48" t="n"/>
      <c r="P44" s="48" t="n"/>
      <c r="Q44" s="48" t="n"/>
      <c r="R44" s="48" t="n"/>
      <c r="S44" s="48" t="n"/>
      <c r="T44" s="48" t="n"/>
    </row>
    <row r="45">
      <c r="A45" s="48" t="n"/>
      <c r="B45" s="48" t="n"/>
      <c r="C45" s="48" t="n"/>
      <c r="D45" s="48" t="n"/>
      <c r="E45" s="59" t="n"/>
      <c r="F45" s="48" t="n"/>
      <c r="G45" s="48" t="n"/>
      <c r="H45" s="48" t="n"/>
      <c r="I45" s="48" t="n"/>
      <c r="J45" s="48" t="n"/>
      <c r="K45" s="48" t="n"/>
      <c r="L45" s="48" t="n"/>
      <c r="M45" s="48" t="n"/>
      <c r="N45" s="48" t="n"/>
      <c r="O45" s="48" t="n"/>
      <c r="P45" s="48" t="n"/>
      <c r="Q45" s="48" t="n"/>
      <c r="R45" s="48" t="n"/>
      <c r="S45" s="48" t="n"/>
      <c r="T45" s="48" t="n"/>
    </row>
    <row r="46">
      <c r="A46" s="48" t="n"/>
      <c r="B46" s="48" t="n"/>
      <c r="C46" s="48" t="n"/>
      <c r="D46" s="48" t="n"/>
      <c r="E46" s="59" t="n"/>
      <c r="F46" s="48" t="n"/>
      <c r="G46" s="48" t="n"/>
      <c r="H46" s="48" t="n"/>
      <c r="I46" s="48" t="n"/>
      <c r="J46" s="48" t="n"/>
      <c r="K46" s="48" t="n"/>
      <c r="L46" s="48" t="n"/>
      <c r="M46" s="48" t="n"/>
      <c r="N46" s="48" t="n"/>
      <c r="O46" s="48" t="n"/>
      <c r="P46" s="48" t="n"/>
      <c r="Q46" s="48" t="n"/>
      <c r="R46" s="48" t="n"/>
      <c r="S46" s="48" t="n"/>
      <c r="T46" s="48" t="n"/>
    </row>
    <row r="47">
      <c r="A47" s="48" t="n"/>
      <c r="B47" s="48" t="n"/>
      <c r="C47" s="48" t="n"/>
      <c r="D47" s="48" t="n"/>
      <c r="E47" s="59" t="n"/>
      <c r="F47" s="48" t="n"/>
      <c r="G47" s="48" t="n"/>
      <c r="H47" s="48" t="n"/>
      <c r="I47" s="48" t="n"/>
      <c r="J47" s="48" t="n"/>
      <c r="K47" s="48" t="n"/>
      <c r="L47" s="48" t="n"/>
      <c r="M47" s="48" t="n"/>
      <c r="N47" s="48" t="n"/>
      <c r="O47" s="48" t="n"/>
      <c r="P47" s="48" t="n"/>
      <c r="Q47" s="48" t="n"/>
      <c r="R47" s="48" t="n"/>
      <c r="S47" s="48" t="n"/>
      <c r="T47" s="48" t="n"/>
    </row>
    <row r="48">
      <c r="A48" s="48" t="n"/>
      <c r="B48" s="48" t="n"/>
      <c r="C48" s="48" t="n"/>
      <c r="D48" s="48" t="n"/>
      <c r="E48" s="59" t="n"/>
      <c r="F48" s="48" t="n"/>
      <c r="G48" s="48" t="n"/>
      <c r="H48" s="48" t="n"/>
      <c r="I48" s="48" t="n"/>
      <c r="J48" s="48" t="n"/>
      <c r="K48" s="48" t="n"/>
      <c r="L48" s="48" t="n"/>
      <c r="M48" s="48" t="n"/>
      <c r="N48" s="48" t="n"/>
      <c r="O48" s="48" t="n"/>
      <c r="P48" s="48" t="n"/>
      <c r="Q48" s="48" t="n"/>
      <c r="R48" s="48" t="n"/>
      <c r="S48" s="48" t="n"/>
      <c r="T48" s="48" t="n"/>
    </row>
    <row r="49">
      <c r="A49" s="48" t="n"/>
      <c r="B49" s="48" t="n"/>
      <c r="C49" s="48" t="n"/>
      <c r="D49" s="48" t="n"/>
      <c r="E49" s="59" t="n"/>
      <c r="F49" s="48" t="n"/>
      <c r="G49" s="48" t="n"/>
      <c r="H49" s="48" t="n"/>
      <c r="I49" s="48" t="n"/>
      <c r="J49" s="48" t="n"/>
      <c r="K49" s="48" t="n"/>
      <c r="L49" s="48" t="n"/>
      <c r="M49" s="48" t="n"/>
      <c r="N49" s="48" t="n"/>
      <c r="O49" s="48" t="n"/>
      <c r="P49" s="48" t="n"/>
      <c r="Q49" s="48" t="n"/>
      <c r="R49" s="48" t="n"/>
      <c r="S49" s="48" t="n"/>
      <c r="T49" s="48" t="n"/>
    </row>
    <row r="50">
      <c r="A50" s="48" t="n"/>
      <c r="B50" s="48" t="n"/>
      <c r="C50" s="48" t="n"/>
      <c r="D50" s="48" t="n"/>
      <c r="E50" s="59" t="n"/>
      <c r="F50" s="48" t="n"/>
      <c r="G50" s="48" t="n"/>
      <c r="H50" s="48" t="n"/>
      <c r="I50" s="48" t="n"/>
      <c r="J50" s="48" t="n"/>
      <c r="K50" s="48" t="n"/>
      <c r="L50" s="48" t="n"/>
      <c r="M50" s="48" t="n"/>
      <c r="N50" s="48" t="n"/>
      <c r="O50" s="48" t="n"/>
      <c r="P50" s="48" t="n"/>
      <c r="Q50" s="48" t="n"/>
      <c r="R50" s="48" t="n"/>
      <c r="S50" s="48" t="n"/>
      <c r="T50" s="48" t="n"/>
    </row>
    <row r="51">
      <c r="A51" s="48" t="n"/>
      <c r="B51" s="48" t="n"/>
      <c r="C51" s="48" t="n"/>
      <c r="D51" s="48" t="n"/>
      <c r="E51" s="59" t="n"/>
      <c r="F51" s="48" t="n"/>
      <c r="G51" s="48" t="n"/>
      <c r="H51" s="48" t="n"/>
      <c r="I51" s="48" t="n"/>
      <c r="J51" s="48" t="n"/>
      <c r="K51" s="48" t="n"/>
      <c r="L51" s="48" t="n"/>
      <c r="M51" s="48" t="n"/>
      <c r="N51" s="48" t="n"/>
      <c r="O51" s="48" t="n"/>
      <c r="P51" s="48" t="n"/>
      <c r="Q51" s="48" t="n"/>
      <c r="R51" s="48" t="n"/>
      <c r="S51" s="48" t="n"/>
      <c r="T51" s="48" t="n"/>
    </row>
    <row r="52">
      <c r="A52" s="48" t="n"/>
      <c r="B52" s="48" t="n"/>
      <c r="C52" s="48" t="n"/>
      <c r="D52" s="48" t="n"/>
      <c r="E52" s="59" t="n"/>
      <c r="F52" s="48" t="n"/>
      <c r="G52" s="48" t="n"/>
      <c r="H52" s="48" t="n"/>
      <c r="I52" s="48" t="n"/>
      <c r="J52" s="48" t="n"/>
      <c r="K52" s="48" t="n"/>
      <c r="L52" s="48" t="n"/>
      <c r="M52" s="48" t="n"/>
      <c r="N52" s="48" t="n"/>
      <c r="O52" s="48" t="n"/>
      <c r="P52" s="48" t="n"/>
      <c r="Q52" s="48" t="n"/>
      <c r="R52" s="48" t="n"/>
      <c r="S52" s="48" t="n"/>
      <c r="T52" s="48" t="n"/>
    </row>
    <row r="53">
      <c r="A53" s="48" t="n"/>
      <c r="B53" s="48" t="n"/>
      <c r="C53" s="48" t="n"/>
      <c r="D53" s="48" t="n"/>
      <c r="E53" s="59" t="n"/>
      <c r="F53" s="48" t="n"/>
      <c r="G53" s="48" t="n"/>
      <c r="H53" s="48" t="n"/>
      <c r="I53" s="48" t="n"/>
      <c r="J53" s="48" t="n"/>
      <c r="K53" s="48" t="n"/>
      <c r="L53" s="48" t="n"/>
      <c r="M53" s="48" t="n"/>
      <c r="N53" s="48" t="n"/>
      <c r="O53" s="48" t="n"/>
      <c r="P53" s="48" t="n"/>
      <c r="Q53" s="48" t="n"/>
      <c r="R53" s="48" t="n"/>
      <c r="S53" s="48" t="n"/>
      <c r="T53" s="48" t="n"/>
    </row>
    <row r="54">
      <c r="A54" s="48" t="n"/>
      <c r="B54" s="48" t="n"/>
      <c r="C54" s="48" t="n"/>
      <c r="D54" s="48" t="n"/>
      <c r="E54" s="59" t="n"/>
      <c r="F54" s="48" t="n"/>
      <c r="G54" s="48" t="n"/>
      <c r="H54" s="48" t="n"/>
      <c r="I54" s="48" t="n"/>
      <c r="J54" s="48" t="n"/>
      <c r="K54" s="48" t="n"/>
      <c r="L54" s="48" t="n"/>
      <c r="M54" s="48" t="n"/>
      <c r="N54" s="48" t="n"/>
      <c r="O54" s="48" t="n"/>
      <c r="P54" s="48" t="n"/>
      <c r="Q54" s="48" t="n"/>
      <c r="R54" s="48" t="n"/>
      <c r="S54" s="48" t="n"/>
      <c r="T54" s="48" t="n"/>
    </row>
    <row r="55">
      <c r="A55" s="48" t="n"/>
      <c r="B55" s="48" t="n"/>
      <c r="C55" s="48" t="n"/>
      <c r="D55" s="48" t="n"/>
      <c r="E55" s="59" t="n"/>
      <c r="F55" s="48" t="n"/>
      <c r="G55" s="48" t="n"/>
      <c r="H55" s="48" t="n"/>
      <c r="I55" s="48" t="n"/>
      <c r="J55" s="48" t="n"/>
      <c r="K55" s="48" t="n"/>
      <c r="L55" s="48" t="n"/>
      <c r="M55" s="48" t="n"/>
      <c r="N55" s="48" t="n"/>
      <c r="O55" s="48" t="n"/>
      <c r="P55" s="48" t="n"/>
      <c r="Q55" s="48" t="n"/>
      <c r="R55" s="48" t="n"/>
      <c r="S55" s="48" t="n"/>
      <c r="T55" s="48" t="n"/>
    </row>
    <row r="56">
      <c r="A56" s="48" t="n"/>
      <c r="B56" s="48" t="n"/>
      <c r="C56" s="48" t="n"/>
      <c r="D56" s="48" t="n"/>
      <c r="E56" s="59" t="n"/>
      <c r="F56" s="48" t="n"/>
      <c r="G56" s="48" t="n"/>
      <c r="H56" s="48" t="n"/>
      <c r="I56" s="48" t="n"/>
      <c r="J56" s="48" t="n"/>
      <c r="K56" s="48" t="n"/>
      <c r="L56" s="48" t="n"/>
      <c r="M56" s="48" t="n"/>
      <c r="N56" s="48" t="n"/>
      <c r="O56" s="48" t="n"/>
      <c r="P56" s="48" t="n"/>
      <c r="Q56" s="48" t="n"/>
      <c r="R56" s="48" t="n"/>
      <c r="S56" s="48" t="n"/>
      <c r="T56" s="48" t="n"/>
    </row>
    <row r="57">
      <c r="A57" s="48" t="n"/>
      <c r="B57" s="48" t="n"/>
      <c r="C57" s="48" t="n"/>
      <c r="D57" s="48" t="n"/>
      <c r="E57" s="59" t="n"/>
      <c r="F57" s="48" t="n"/>
      <c r="G57" s="48" t="n"/>
      <c r="H57" s="48" t="n"/>
      <c r="I57" s="48" t="n"/>
      <c r="J57" s="48" t="n"/>
      <c r="K57" s="48" t="n"/>
      <c r="L57" s="48" t="n"/>
      <c r="M57" s="48" t="n"/>
      <c r="N57" s="48" t="n"/>
      <c r="O57" s="48" t="n"/>
      <c r="P57" s="48" t="n"/>
      <c r="Q57" s="48" t="n"/>
      <c r="R57" s="48" t="n"/>
      <c r="S57" s="48" t="n"/>
      <c r="T57" s="48" t="n"/>
    </row>
    <row r="58">
      <c r="A58" s="48" t="n"/>
      <c r="B58" s="48" t="n"/>
      <c r="C58" s="48" t="n"/>
      <c r="D58" s="48" t="n"/>
      <c r="E58" s="59" t="n"/>
      <c r="F58" s="48" t="n"/>
      <c r="G58" s="48" t="n"/>
      <c r="H58" s="48" t="n"/>
      <c r="I58" s="48" t="n"/>
      <c r="J58" s="48" t="n"/>
      <c r="K58" s="48" t="n"/>
      <c r="L58" s="48" t="n"/>
      <c r="M58" s="48" t="n"/>
      <c r="N58" s="48" t="n"/>
      <c r="O58" s="48" t="n"/>
      <c r="P58" s="48" t="n"/>
      <c r="Q58" s="48" t="n"/>
      <c r="R58" s="48" t="n"/>
      <c r="S58" s="48" t="n"/>
      <c r="T58" s="48" t="n"/>
    </row>
    <row r="59">
      <c r="A59" s="48" t="n"/>
      <c r="B59" s="48" t="n"/>
      <c r="C59" s="48" t="n"/>
      <c r="D59" s="48" t="n"/>
      <c r="E59" s="59" t="n"/>
      <c r="F59" s="48" t="n"/>
      <c r="G59" s="48" t="n"/>
      <c r="H59" s="48" t="n"/>
      <c r="I59" s="48" t="n"/>
      <c r="J59" s="48" t="n"/>
      <c r="K59" s="48" t="n"/>
      <c r="L59" s="48" t="n"/>
      <c r="M59" s="48" t="n"/>
      <c r="N59" s="48" t="n"/>
      <c r="O59" s="48" t="n"/>
      <c r="P59" s="48" t="n"/>
      <c r="Q59" s="48" t="n"/>
      <c r="R59" s="48" t="n"/>
      <c r="S59" s="48" t="n"/>
      <c r="T59" s="48" t="n"/>
    </row>
    <row r="60">
      <c r="A60" s="48" t="n"/>
      <c r="B60" s="48" t="n"/>
      <c r="C60" s="48" t="n"/>
      <c r="D60" s="48" t="n"/>
      <c r="E60" s="59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48" t="n"/>
      <c r="R60" s="48" t="n"/>
      <c r="S60" s="48" t="n"/>
      <c r="T60" s="48" t="n"/>
    </row>
    <row r="61">
      <c r="A61" s="48" t="n"/>
      <c r="B61" s="48" t="n"/>
      <c r="C61" s="48" t="n"/>
      <c r="D61" s="48" t="n"/>
      <c r="E61" s="59" t="n"/>
      <c r="F61" s="48" t="n"/>
      <c r="G61" s="48" t="n"/>
      <c r="H61" s="48" t="n"/>
      <c r="I61" s="48" t="n"/>
      <c r="J61" s="48" t="n"/>
      <c r="K61" s="48" t="n"/>
      <c r="L61" s="48" t="n"/>
      <c r="M61" s="48" t="n"/>
      <c r="N61" s="48" t="n"/>
      <c r="O61" s="48" t="n"/>
      <c r="P61" s="48" t="n"/>
      <c r="Q61" s="48" t="n"/>
      <c r="R61" s="48" t="n"/>
      <c r="S61" s="48" t="n"/>
      <c r="T61" s="48" t="n"/>
    </row>
    <row r="62">
      <c r="A62" s="48" t="n"/>
      <c r="B62" s="48" t="n"/>
      <c r="C62" s="48" t="n"/>
      <c r="D62" s="48" t="n"/>
      <c r="E62" s="59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48" t="n"/>
      <c r="R62" s="48" t="n"/>
      <c r="S62" s="48" t="n"/>
      <c r="T62" s="48" t="n"/>
    </row>
    <row r="63">
      <c r="A63" s="48" t="n"/>
      <c r="B63" s="48" t="n"/>
      <c r="C63" s="48" t="n"/>
      <c r="D63" s="48" t="n"/>
      <c r="E63" s="59" t="n"/>
      <c r="F63" s="48" t="n"/>
      <c r="G63" s="48" t="n"/>
      <c r="H63" s="48" t="n"/>
      <c r="I63" s="48" t="n"/>
      <c r="J63" s="48" t="n"/>
      <c r="K63" s="48" t="n"/>
      <c r="L63" s="48" t="n"/>
      <c r="M63" s="48" t="n"/>
      <c r="N63" s="48" t="n"/>
      <c r="O63" s="48" t="n"/>
      <c r="P63" s="48" t="n"/>
      <c r="Q63" s="48" t="n"/>
      <c r="R63" s="48" t="n"/>
      <c r="S63" s="48" t="n"/>
      <c r="T63" s="48" t="n"/>
    </row>
    <row r="64">
      <c r="A64" s="48" t="n"/>
      <c r="B64" s="48" t="n"/>
      <c r="C64" s="48" t="n"/>
      <c r="D64" s="48" t="n"/>
      <c r="E64" s="59" t="n"/>
      <c r="F64" s="48" t="n"/>
      <c r="G64" s="48" t="n"/>
      <c r="H64" s="48" t="n"/>
      <c r="I64" s="48" t="n"/>
      <c r="J64" s="48" t="n"/>
      <c r="K64" s="48" t="n"/>
      <c r="L64" s="48" t="n"/>
      <c r="M64" s="48" t="n"/>
      <c r="N64" s="48" t="n"/>
      <c r="O64" s="48" t="n"/>
      <c r="P64" s="48" t="n"/>
      <c r="Q64" s="48" t="n"/>
      <c r="R64" s="48" t="n"/>
      <c r="S64" s="48" t="n"/>
      <c r="T64" s="48" t="n"/>
    </row>
    <row r="65">
      <c r="A65" s="48" t="n"/>
      <c r="B65" s="48" t="n"/>
      <c r="C65" s="48" t="n"/>
      <c r="D65" s="48" t="n"/>
      <c r="E65" s="59" t="n"/>
      <c r="F65" s="48" t="n"/>
      <c r="G65" s="48" t="n"/>
      <c r="H65" s="48" t="n"/>
      <c r="I65" s="48" t="n"/>
      <c r="J65" s="48" t="n"/>
      <c r="K65" s="48" t="n"/>
      <c r="L65" s="48" t="n"/>
      <c r="M65" s="48" t="n"/>
      <c r="N65" s="48" t="n"/>
      <c r="O65" s="48" t="n"/>
      <c r="P65" s="48" t="n"/>
      <c r="Q65" s="48" t="n"/>
      <c r="R65" s="48" t="n"/>
      <c r="S65" s="48" t="n"/>
      <c r="T65" s="48" t="n"/>
    </row>
    <row r="66">
      <c r="A66" s="48" t="n"/>
      <c r="B66" s="48" t="n"/>
      <c r="C66" s="48" t="n"/>
      <c r="D66" s="48" t="n"/>
      <c r="E66" s="59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48" t="n"/>
      <c r="R66" s="48" t="n"/>
      <c r="S66" s="48" t="n"/>
      <c r="T66" s="48" t="n"/>
    </row>
    <row r="67">
      <c r="A67" s="48" t="n"/>
      <c r="B67" s="48" t="n"/>
      <c r="C67" s="48" t="n"/>
      <c r="D67" s="48" t="n"/>
      <c r="E67" s="59" t="n"/>
      <c r="F67" s="48" t="n"/>
      <c r="G67" s="48" t="n"/>
      <c r="H67" s="48" t="n"/>
      <c r="I67" s="48" t="n"/>
      <c r="J67" s="48" t="n"/>
      <c r="K67" s="48" t="n"/>
      <c r="L67" s="48" t="n"/>
      <c r="M67" s="48" t="n"/>
      <c r="N67" s="48" t="n"/>
      <c r="O67" s="48" t="n"/>
      <c r="P67" s="48" t="n"/>
      <c r="Q67" s="48" t="n"/>
      <c r="R67" s="48" t="n"/>
      <c r="S67" s="48" t="n"/>
      <c r="T67" s="48" t="n"/>
    </row>
    <row r="68">
      <c r="A68" s="48" t="n"/>
      <c r="B68" s="48" t="n"/>
      <c r="C68" s="48" t="n"/>
      <c r="D68" s="48" t="n"/>
      <c r="E68" s="59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48" t="n"/>
      <c r="R68" s="48" t="n"/>
      <c r="S68" s="48" t="n"/>
      <c r="T68" s="48" t="n"/>
    </row>
    <row r="69">
      <c r="A69" s="48" t="n"/>
      <c r="B69" s="48" t="n"/>
      <c r="C69" s="48" t="n"/>
      <c r="D69" s="48" t="n"/>
      <c r="E69" s="59" t="n"/>
      <c r="F69" s="48" t="n"/>
      <c r="G69" s="48" t="n"/>
      <c r="H69" s="48" t="n"/>
      <c r="I69" s="48" t="n"/>
      <c r="J69" s="48" t="n"/>
      <c r="K69" s="48" t="n"/>
      <c r="L69" s="48" t="n"/>
      <c r="M69" s="48" t="n"/>
      <c r="N69" s="48" t="n"/>
      <c r="O69" s="48" t="n"/>
      <c r="P69" s="48" t="n"/>
      <c r="Q69" s="48" t="n"/>
      <c r="R69" s="48" t="n"/>
      <c r="S69" s="48" t="n"/>
      <c r="T69" s="48" t="n"/>
    </row>
    <row r="70">
      <c r="A70" s="48" t="n"/>
      <c r="B70" s="48" t="n"/>
      <c r="C70" s="48" t="n"/>
      <c r="D70" s="48" t="n"/>
      <c r="E70" s="59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48" t="n"/>
      <c r="R70" s="48" t="n"/>
      <c r="S70" s="48" t="n"/>
      <c r="T70" s="48" t="n"/>
    </row>
    <row r="71">
      <c r="A71" s="48" t="n"/>
      <c r="B71" s="48" t="n"/>
      <c r="C71" s="48" t="n"/>
      <c r="D71" s="48" t="n"/>
      <c r="E71" s="59" t="n"/>
      <c r="F71" s="48" t="n"/>
      <c r="G71" s="48" t="n"/>
      <c r="H71" s="48" t="n"/>
      <c r="I71" s="48" t="n"/>
      <c r="J71" s="48" t="n"/>
      <c r="K71" s="48" t="n"/>
      <c r="L71" s="48" t="n"/>
      <c r="M71" s="48" t="n"/>
      <c r="N71" s="48" t="n"/>
      <c r="O71" s="48" t="n"/>
      <c r="P71" s="48" t="n"/>
      <c r="Q71" s="48" t="n"/>
      <c r="R71" s="48" t="n"/>
      <c r="S71" s="48" t="n"/>
      <c r="T71" s="48" t="n"/>
    </row>
    <row r="72">
      <c r="A72" s="48" t="n"/>
      <c r="B72" s="48" t="n"/>
      <c r="C72" s="48" t="n"/>
      <c r="D72" s="48" t="n"/>
      <c r="E72" s="59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48" t="n"/>
      <c r="R72" s="48" t="n"/>
      <c r="S72" s="48" t="n"/>
      <c r="T72" s="48" t="n"/>
    </row>
    <row r="73">
      <c r="A73" s="48" t="n"/>
      <c r="B73" s="48" t="n"/>
      <c r="C73" s="48" t="n"/>
      <c r="D73" s="48" t="n"/>
      <c r="E73" s="59" t="n"/>
      <c r="F73" s="48" t="n"/>
      <c r="G73" s="48" t="n"/>
      <c r="H73" s="48" t="n"/>
      <c r="I73" s="48" t="n"/>
      <c r="J73" s="48" t="n"/>
      <c r="K73" s="48" t="n"/>
      <c r="L73" s="48" t="n"/>
      <c r="M73" s="48" t="n"/>
      <c r="N73" s="48" t="n"/>
      <c r="O73" s="48" t="n"/>
      <c r="P73" s="48" t="n"/>
      <c r="Q73" s="48" t="n"/>
      <c r="R73" s="48" t="n"/>
      <c r="S73" s="48" t="n"/>
      <c r="T73" s="48" t="n"/>
    </row>
    <row r="74">
      <c r="A74" s="48" t="n"/>
      <c r="B74" s="48" t="n"/>
      <c r="C74" s="48" t="n"/>
      <c r="D74" s="48" t="n"/>
      <c r="E74" s="59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48" t="n"/>
      <c r="R74" s="48" t="n"/>
      <c r="S74" s="48" t="n"/>
      <c r="T74" s="48" t="n"/>
    </row>
    <row r="75">
      <c r="A75" s="48" t="n"/>
      <c r="B75" s="48" t="n"/>
      <c r="C75" s="48" t="n"/>
      <c r="D75" s="48" t="n"/>
      <c r="E75" s="59" t="n"/>
      <c r="F75" s="48" t="n"/>
      <c r="G75" s="48" t="n"/>
      <c r="H75" s="48" t="n"/>
      <c r="I75" s="48" t="n"/>
      <c r="J75" s="48" t="n"/>
      <c r="K75" s="48" t="n"/>
      <c r="L75" s="48" t="n"/>
      <c r="M75" s="48" t="n"/>
      <c r="N75" s="48" t="n"/>
      <c r="O75" s="48" t="n"/>
      <c r="P75" s="48" t="n"/>
      <c r="Q75" s="48" t="n"/>
      <c r="R75" s="48" t="n"/>
      <c r="S75" s="48" t="n"/>
      <c r="T75" s="48" t="n"/>
    </row>
    <row r="76">
      <c r="A76" s="48" t="n"/>
      <c r="B76" s="48" t="n"/>
      <c r="C76" s="48" t="n"/>
      <c r="D76" s="48" t="n"/>
      <c r="E76" s="59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48" t="n"/>
      <c r="R76" s="48" t="n"/>
      <c r="S76" s="48" t="n"/>
      <c r="T76" s="48" t="n"/>
    </row>
    <row r="77">
      <c r="A77" s="48" t="n"/>
      <c r="B77" s="48" t="n"/>
      <c r="C77" s="48" t="n"/>
      <c r="D77" s="48" t="n"/>
      <c r="E77" s="59" t="n"/>
      <c r="F77" s="48" t="n"/>
      <c r="G77" s="48" t="n"/>
      <c r="H77" s="48" t="n"/>
      <c r="I77" s="48" t="n"/>
      <c r="J77" s="48" t="n"/>
      <c r="K77" s="48" t="n"/>
      <c r="L77" s="48" t="n"/>
      <c r="M77" s="48" t="n"/>
      <c r="N77" s="48" t="n"/>
      <c r="O77" s="48" t="n"/>
      <c r="P77" s="48" t="n"/>
      <c r="Q77" s="48" t="n"/>
      <c r="R77" s="48" t="n"/>
      <c r="S77" s="48" t="n"/>
      <c r="T77" s="48" t="n"/>
    </row>
    <row r="78">
      <c r="A78" s="48" t="n"/>
      <c r="B78" s="48" t="n"/>
      <c r="C78" s="48" t="n"/>
      <c r="D78" s="48" t="n"/>
      <c r="E78" s="59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48" t="n"/>
      <c r="R78" s="48" t="n"/>
      <c r="S78" s="48" t="n"/>
      <c r="T78" s="48" t="n"/>
    </row>
    <row r="79">
      <c r="A79" s="48" t="n"/>
      <c r="B79" s="48" t="n"/>
      <c r="C79" s="48" t="n"/>
      <c r="D79" s="48" t="n"/>
      <c r="E79" s="59" t="n"/>
      <c r="F79" s="48" t="n"/>
      <c r="G79" s="48" t="n"/>
      <c r="H79" s="48" t="n"/>
      <c r="I79" s="48" t="n"/>
      <c r="J79" s="48" t="n"/>
      <c r="K79" s="48" t="n"/>
      <c r="L79" s="48" t="n"/>
      <c r="M79" s="48" t="n"/>
      <c r="N79" s="48" t="n"/>
      <c r="O79" s="48" t="n"/>
      <c r="P79" s="48" t="n"/>
      <c r="Q79" s="48" t="n"/>
      <c r="R79" s="48" t="n"/>
      <c r="S79" s="48" t="n"/>
      <c r="T79" s="48" t="n"/>
    </row>
    <row r="80">
      <c r="A80" s="48" t="n"/>
      <c r="B80" s="48" t="n"/>
      <c r="C80" s="48" t="n"/>
      <c r="D80" s="48" t="n"/>
      <c r="E80" s="59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48" t="n"/>
      <c r="R80" s="48" t="n"/>
      <c r="S80" s="48" t="n"/>
      <c r="T80" s="48" t="n"/>
    </row>
    <row r="81">
      <c r="A81" s="48" t="n"/>
      <c r="B81" s="48" t="n"/>
      <c r="C81" s="48" t="n"/>
      <c r="D81" s="48" t="n"/>
      <c r="E81" s="59" t="n"/>
      <c r="F81" s="48" t="n"/>
      <c r="G81" s="48" t="n"/>
      <c r="H81" s="48" t="n"/>
      <c r="I81" s="48" t="n"/>
      <c r="J81" s="48" t="n"/>
      <c r="K81" s="48" t="n"/>
      <c r="L81" s="48" t="n"/>
      <c r="M81" s="48" t="n"/>
      <c r="N81" s="48" t="n"/>
      <c r="O81" s="48" t="n"/>
      <c r="P81" s="48" t="n"/>
      <c r="Q81" s="48" t="n"/>
      <c r="R81" s="48" t="n"/>
      <c r="S81" s="48" t="n"/>
      <c r="T81" s="48" t="n"/>
    </row>
    <row r="82">
      <c r="A82" s="48" t="n"/>
      <c r="B82" s="48" t="n"/>
      <c r="C82" s="48" t="n"/>
      <c r="D82" s="48" t="n"/>
      <c r="E82" s="59" t="n"/>
      <c r="F82" s="48" t="n"/>
      <c r="G82" s="48" t="n"/>
      <c r="H82" s="48" t="n"/>
      <c r="I82" s="48" t="n"/>
      <c r="J82" s="48" t="n"/>
      <c r="K82" s="48" t="n"/>
      <c r="L82" s="48" t="n"/>
      <c r="M82" s="48" t="n"/>
      <c r="N82" s="48" t="n"/>
      <c r="O82" s="48" t="n"/>
      <c r="P82" s="48" t="n"/>
      <c r="Q82" s="48" t="n"/>
      <c r="R82" s="48" t="n"/>
      <c r="S82" s="48" t="n"/>
      <c r="T82" s="48" t="n"/>
    </row>
    <row r="83">
      <c r="A83" s="48" t="n"/>
      <c r="B83" s="48" t="n"/>
      <c r="C83" s="48" t="n"/>
      <c r="D83" s="48" t="n"/>
      <c r="E83" s="59" t="n"/>
      <c r="F83" s="48" t="n"/>
      <c r="G83" s="48" t="n"/>
      <c r="H83" s="48" t="n"/>
      <c r="I83" s="48" t="n"/>
      <c r="J83" s="48" t="n"/>
      <c r="K83" s="48" t="n"/>
      <c r="L83" s="48" t="n"/>
      <c r="M83" s="48" t="n"/>
      <c r="N83" s="48" t="n"/>
      <c r="O83" s="48" t="n"/>
      <c r="P83" s="48" t="n"/>
      <c r="Q83" s="48" t="n"/>
      <c r="R83" s="48" t="n"/>
      <c r="S83" s="48" t="n"/>
      <c r="T83" s="48" t="n"/>
    </row>
    <row r="84">
      <c r="A84" s="48" t="n"/>
      <c r="B84" s="48" t="n"/>
      <c r="C84" s="48" t="n"/>
      <c r="D84" s="48" t="n"/>
      <c r="E84" s="59" t="n"/>
      <c r="F84" s="48" t="n"/>
      <c r="G84" s="48" t="n"/>
      <c r="H84" s="48" t="n"/>
      <c r="I84" s="48" t="n"/>
      <c r="J84" s="48" t="n"/>
      <c r="K84" s="48" t="n"/>
      <c r="L84" s="48" t="n"/>
      <c r="M84" s="48" t="n"/>
      <c r="N84" s="48" t="n"/>
      <c r="O84" s="48" t="n"/>
      <c r="P84" s="48" t="n"/>
      <c r="Q84" s="48" t="n"/>
      <c r="R84" s="48" t="n"/>
      <c r="S84" s="48" t="n"/>
      <c r="T84" s="48" t="n"/>
    </row>
    <row r="85">
      <c r="A85" s="48" t="n"/>
      <c r="B85" s="48" t="n"/>
      <c r="C85" s="48" t="n"/>
      <c r="D85" s="48" t="n"/>
      <c r="E85" s="59" t="n"/>
      <c r="F85" s="48" t="n"/>
      <c r="G85" s="48" t="n"/>
      <c r="H85" s="48" t="n"/>
      <c r="I85" s="48" t="n"/>
      <c r="J85" s="48" t="n"/>
      <c r="K85" s="48" t="n"/>
      <c r="L85" s="48" t="n"/>
      <c r="M85" s="48" t="n"/>
      <c r="N85" s="48" t="n"/>
      <c r="O85" s="48" t="n"/>
      <c r="P85" s="48" t="n"/>
      <c r="Q85" s="48" t="n"/>
      <c r="R85" s="48" t="n"/>
      <c r="S85" s="48" t="n"/>
      <c r="T85" s="48" t="n"/>
    </row>
    <row r="86">
      <c r="A86" s="48" t="n"/>
      <c r="B86" s="48" t="n"/>
      <c r="C86" s="48" t="n"/>
      <c r="D86" s="48" t="n"/>
      <c r="E86" s="59" t="n"/>
      <c r="F86" s="48" t="n"/>
      <c r="G86" s="48" t="n"/>
      <c r="H86" s="48" t="n"/>
      <c r="I86" s="48" t="n"/>
      <c r="J86" s="48" t="n"/>
      <c r="K86" s="48" t="n"/>
      <c r="L86" s="48" t="n"/>
      <c r="M86" s="48" t="n"/>
      <c r="N86" s="48" t="n"/>
      <c r="O86" s="48" t="n"/>
      <c r="P86" s="48" t="n"/>
      <c r="Q86" s="48" t="n"/>
      <c r="R86" s="48" t="n"/>
      <c r="S86" s="48" t="n"/>
      <c r="T86" s="48" t="n"/>
    </row>
    <row r="87">
      <c r="A87" s="48" t="n"/>
      <c r="B87" s="48" t="n"/>
      <c r="C87" s="48" t="n"/>
      <c r="D87" s="48" t="n"/>
      <c r="E87" s="59" t="n"/>
      <c r="F87" s="48" t="n"/>
      <c r="G87" s="48" t="n"/>
      <c r="H87" s="48" t="n"/>
      <c r="I87" s="48" t="n"/>
      <c r="J87" s="48" t="n"/>
      <c r="K87" s="48" t="n"/>
      <c r="L87" s="48" t="n"/>
      <c r="M87" s="48" t="n"/>
      <c r="N87" s="48" t="n"/>
      <c r="O87" s="48" t="n"/>
      <c r="P87" s="48" t="n"/>
      <c r="Q87" s="48" t="n"/>
      <c r="R87" s="48" t="n"/>
      <c r="S87" s="48" t="n"/>
      <c r="T87" s="48" t="n"/>
    </row>
    <row r="88">
      <c r="A88" s="48" t="n"/>
      <c r="B88" s="48" t="n"/>
      <c r="C88" s="48" t="n"/>
      <c r="D88" s="48" t="n"/>
      <c r="E88" s="59" t="n"/>
      <c r="F88" s="48" t="n"/>
      <c r="G88" s="48" t="n"/>
      <c r="H88" s="48" t="n"/>
      <c r="I88" s="48" t="n"/>
      <c r="J88" s="48" t="n"/>
      <c r="K88" s="48" t="n"/>
      <c r="L88" s="48" t="n"/>
      <c r="M88" s="48" t="n"/>
      <c r="N88" s="48" t="n"/>
      <c r="O88" s="48" t="n"/>
      <c r="P88" s="48" t="n"/>
      <c r="Q88" s="48" t="n"/>
      <c r="R88" s="48" t="n"/>
      <c r="S88" s="48" t="n"/>
      <c r="T88" s="48" t="n"/>
    </row>
    <row r="89">
      <c r="A89" s="48" t="n"/>
      <c r="B89" s="48" t="n"/>
      <c r="C89" s="48" t="n"/>
      <c r="D89" s="48" t="n"/>
      <c r="E89" s="59" t="n"/>
      <c r="F89" s="48" t="n"/>
      <c r="G89" s="48" t="n"/>
      <c r="H89" s="48" t="n"/>
      <c r="I89" s="48" t="n"/>
      <c r="J89" s="48" t="n"/>
      <c r="K89" s="48" t="n"/>
      <c r="L89" s="48" t="n"/>
      <c r="M89" s="48" t="n"/>
      <c r="N89" s="48" t="n"/>
      <c r="O89" s="48" t="n"/>
      <c r="P89" s="48" t="n"/>
      <c r="Q89" s="48" t="n"/>
      <c r="R89" s="48" t="n"/>
      <c r="S89" s="48" t="n"/>
      <c r="T89" s="48" t="n"/>
    </row>
    <row r="90">
      <c r="A90" s="48" t="n"/>
      <c r="B90" s="48" t="n"/>
      <c r="C90" s="48" t="n"/>
      <c r="D90" s="48" t="n"/>
      <c r="E90" s="59" t="n"/>
      <c r="F90" s="48" t="n"/>
      <c r="G90" s="48" t="n"/>
      <c r="H90" s="48" t="n"/>
      <c r="I90" s="48" t="n"/>
      <c r="J90" s="48" t="n"/>
      <c r="K90" s="48" t="n"/>
      <c r="L90" s="48" t="n"/>
      <c r="M90" s="48" t="n"/>
      <c r="N90" s="48" t="n"/>
      <c r="O90" s="48" t="n"/>
      <c r="P90" s="48" t="n"/>
      <c r="Q90" s="48" t="n"/>
      <c r="R90" s="48" t="n"/>
      <c r="S90" s="48" t="n"/>
      <c r="T90" s="48" t="n"/>
    </row>
    <row r="91">
      <c r="A91" s="48" t="n"/>
      <c r="B91" s="48" t="n"/>
      <c r="C91" s="48" t="n"/>
      <c r="D91" s="48" t="n"/>
      <c r="E91" s="59" t="n"/>
      <c r="F91" s="48" t="n"/>
      <c r="G91" s="48" t="n"/>
      <c r="H91" s="48" t="n"/>
      <c r="I91" s="48" t="n"/>
      <c r="J91" s="48" t="n"/>
      <c r="K91" s="48" t="n"/>
      <c r="L91" s="48" t="n"/>
      <c r="M91" s="48" t="n"/>
      <c r="N91" s="48" t="n"/>
      <c r="O91" s="48" t="n"/>
      <c r="P91" s="48" t="n"/>
      <c r="Q91" s="48" t="n"/>
      <c r="R91" s="48" t="n"/>
      <c r="S91" s="48" t="n"/>
      <c r="T91" s="48" t="n"/>
    </row>
    <row r="92">
      <c r="A92" s="48" t="n"/>
      <c r="B92" s="48" t="n"/>
      <c r="C92" s="48" t="n"/>
      <c r="D92" s="48" t="n"/>
      <c r="E92" s="59" t="n"/>
      <c r="F92" s="48" t="n"/>
      <c r="G92" s="48" t="n"/>
      <c r="H92" s="48" t="n"/>
      <c r="I92" s="48" t="n"/>
      <c r="J92" s="48" t="n"/>
      <c r="K92" s="48" t="n"/>
      <c r="L92" s="48" t="n"/>
      <c r="M92" s="48" t="n"/>
      <c r="N92" s="48" t="n"/>
      <c r="O92" s="48" t="n"/>
      <c r="P92" s="48" t="n"/>
      <c r="Q92" s="48" t="n"/>
      <c r="R92" s="48" t="n"/>
      <c r="S92" s="48" t="n"/>
      <c r="T92" s="48" t="n"/>
    </row>
    <row r="93">
      <c r="A93" s="48" t="n"/>
      <c r="B93" s="48" t="n"/>
      <c r="C93" s="48" t="n"/>
      <c r="D93" s="48" t="n"/>
      <c r="E93" s="59" t="n"/>
      <c r="F93" s="48" t="n"/>
      <c r="G93" s="48" t="n"/>
      <c r="H93" s="48" t="n"/>
      <c r="I93" s="48" t="n"/>
      <c r="J93" s="48" t="n"/>
      <c r="K93" s="48" t="n"/>
      <c r="L93" s="48" t="n"/>
      <c r="M93" s="48" t="n"/>
      <c r="N93" s="48" t="n"/>
      <c r="O93" s="48" t="n"/>
      <c r="P93" s="48" t="n"/>
      <c r="Q93" s="48" t="n"/>
      <c r="R93" s="48" t="n"/>
      <c r="S93" s="48" t="n"/>
      <c r="T93" s="48" t="n"/>
    </row>
    <row r="94">
      <c r="A94" s="48" t="n"/>
      <c r="B94" s="48" t="n"/>
      <c r="C94" s="48" t="n"/>
      <c r="D94" s="48" t="n"/>
      <c r="E94" s="59" t="n"/>
      <c r="F94" s="48" t="n"/>
      <c r="G94" s="48" t="n"/>
      <c r="H94" s="48" t="n"/>
      <c r="I94" s="48" t="n"/>
      <c r="J94" s="48" t="n"/>
      <c r="K94" s="48" t="n"/>
      <c r="L94" s="48" t="n"/>
      <c r="M94" s="48" t="n"/>
      <c r="N94" s="48" t="n"/>
      <c r="O94" s="48" t="n"/>
      <c r="P94" s="48" t="n"/>
      <c r="Q94" s="48" t="n"/>
      <c r="R94" s="48" t="n"/>
      <c r="S94" s="48" t="n"/>
      <c r="T94" s="48" t="n"/>
    </row>
    <row r="95">
      <c r="A95" s="48" t="n"/>
      <c r="B95" s="48" t="n"/>
      <c r="C95" s="48" t="n"/>
      <c r="D95" s="48" t="n"/>
      <c r="E95" s="59" t="n"/>
      <c r="F95" s="48" t="n"/>
      <c r="G95" s="48" t="n"/>
      <c r="H95" s="48" t="n"/>
      <c r="I95" s="48" t="n"/>
      <c r="J95" s="48" t="n"/>
      <c r="K95" s="48" t="n"/>
      <c r="L95" s="48" t="n"/>
      <c r="M95" s="48" t="n"/>
      <c r="N95" s="48" t="n"/>
      <c r="O95" s="48" t="n"/>
      <c r="P95" s="48" t="n"/>
      <c r="Q95" s="48" t="n"/>
      <c r="R95" s="48" t="n"/>
      <c r="S95" s="48" t="n"/>
      <c r="T95" s="48" t="n"/>
    </row>
    <row r="96">
      <c r="A96" s="48" t="n"/>
      <c r="B96" s="48" t="n"/>
      <c r="C96" s="48" t="n"/>
      <c r="D96" s="48" t="n"/>
      <c r="E96" s="59" t="n"/>
      <c r="F96" s="48" t="n"/>
      <c r="G96" s="48" t="n"/>
      <c r="H96" s="48" t="n"/>
      <c r="I96" s="48" t="n"/>
      <c r="J96" s="48" t="n"/>
      <c r="K96" s="48" t="n"/>
      <c r="L96" s="48" t="n"/>
      <c r="M96" s="48" t="n"/>
      <c r="N96" s="48" t="n"/>
      <c r="O96" s="48" t="n"/>
      <c r="P96" s="48" t="n"/>
      <c r="Q96" s="48" t="n"/>
      <c r="R96" s="48" t="n"/>
      <c r="S96" s="48" t="n"/>
      <c r="T96" s="48" t="n"/>
    </row>
    <row r="97">
      <c r="A97" s="48" t="n"/>
      <c r="B97" s="48" t="n"/>
      <c r="C97" s="48" t="n"/>
      <c r="D97" s="48" t="n"/>
      <c r="E97" s="59" t="n"/>
      <c r="F97" s="48" t="n"/>
      <c r="G97" s="48" t="n"/>
      <c r="H97" s="48" t="n"/>
      <c r="I97" s="48" t="n"/>
      <c r="J97" s="48" t="n"/>
      <c r="K97" s="48" t="n"/>
      <c r="L97" s="48" t="n"/>
      <c r="M97" s="48" t="n"/>
      <c r="N97" s="48" t="n"/>
      <c r="O97" s="48" t="n"/>
      <c r="P97" s="48" t="n"/>
      <c r="Q97" s="48" t="n"/>
      <c r="R97" s="48" t="n"/>
      <c r="S97" s="48" t="n"/>
      <c r="T97" s="48" t="n"/>
    </row>
    <row r="98">
      <c r="A98" s="48" t="n"/>
      <c r="B98" s="48" t="n"/>
      <c r="C98" s="48" t="n"/>
      <c r="D98" s="48" t="n"/>
      <c r="E98" s="59" t="n"/>
      <c r="F98" s="48" t="n"/>
      <c r="G98" s="48" t="n"/>
      <c r="H98" s="48" t="n"/>
      <c r="I98" s="48" t="n"/>
      <c r="J98" s="48" t="n"/>
      <c r="K98" s="48" t="n"/>
      <c r="L98" s="48" t="n"/>
      <c r="M98" s="48" t="n"/>
      <c r="N98" s="48" t="n"/>
      <c r="O98" s="48" t="n"/>
      <c r="P98" s="48" t="n"/>
      <c r="Q98" s="48" t="n"/>
      <c r="R98" s="48" t="n"/>
      <c r="S98" s="48" t="n"/>
      <c r="T98" s="48" t="n"/>
    </row>
    <row r="99">
      <c r="A99" s="48" t="n"/>
      <c r="B99" s="48" t="n"/>
      <c r="C99" s="48" t="n"/>
      <c r="D99" s="48" t="n"/>
      <c r="E99" s="59" t="n"/>
      <c r="F99" s="48" t="n"/>
      <c r="G99" s="48" t="n"/>
      <c r="H99" s="48" t="n"/>
      <c r="I99" s="48" t="n"/>
      <c r="J99" s="48" t="n"/>
      <c r="K99" s="48" t="n"/>
      <c r="L99" s="48" t="n"/>
      <c r="M99" s="48" t="n"/>
      <c r="N99" s="48" t="n"/>
      <c r="O99" s="48" t="n"/>
      <c r="P99" s="48" t="n"/>
      <c r="Q99" s="48" t="n"/>
      <c r="R99" s="48" t="n"/>
      <c r="S99" s="48" t="n"/>
      <c r="T99" s="48" t="n"/>
    </row>
    <row r="100">
      <c r="A100" s="48" t="n"/>
      <c r="B100" s="48" t="n"/>
      <c r="C100" s="48" t="n"/>
      <c r="D100" s="48" t="n"/>
      <c r="E100" s="59" t="n"/>
      <c r="F100" s="48" t="n"/>
      <c r="G100" s="48" t="n"/>
      <c r="H100" s="48" t="n"/>
      <c r="I100" s="48" t="n"/>
      <c r="J100" s="48" t="n"/>
      <c r="K100" s="48" t="n"/>
      <c r="L100" s="48" t="n"/>
      <c r="M100" s="48" t="n"/>
      <c r="N100" s="48" t="n"/>
      <c r="O100" s="48" t="n"/>
      <c r="P100" s="48" t="n"/>
      <c r="Q100" s="48" t="n"/>
      <c r="R100" s="48" t="n"/>
      <c r="S100" s="48" t="n"/>
      <c r="T100" s="48" t="n"/>
    </row>
  </sheetData>
  <mergeCells count="3">
    <mergeCell ref="B2:D2"/>
    <mergeCell ref="B8:D8"/>
    <mergeCell ref="B14:D14"/>
  </mergeCells>
  <pageMargins bottom="0.75" footer="0.3" header="0.3" left="0.7" right="0.7" top="0.75"/>
  <pageSetup fitToWidth="2" orientation="portrait" paperSize="7" scale="44"/>
  <rowBreaks count="1" manualBreakCount="1">
    <brk id="14" man="1" max="16383" min="0"/>
  </rowBreaks>
  <drawing r:id="rId1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>
    <tabColor rgb="FF00B0F0"/>
    <outlinePr summaryBelow="1" summaryRight="1"/>
    <pageSetUpPr/>
  </sheetPr>
  <dimension ref="A1:H3"/>
  <sheetViews>
    <sheetView workbookViewId="0" zoomScaleNormal="100">
      <selection activeCell="B7" sqref="B7"/>
    </sheetView>
  </sheetViews>
  <sheetFormatPr baseColWidth="8" defaultRowHeight="15"/>
  <cols>
    <col customWidth="1" max="3" min="1" style="70" width="20"/>
    <col customWidth="1" max="4" min="4" style="70" width="26.140625"/>
    <col customWidth="1" max="5" min="5" style="70" width="20"/>
    <col customWidth="1" max="6" min="6" style="70" width="21.85546875"/>
    <col customWidth="1" max="7" min="7" style="70" width="20.7109375"/>
    <col customWidth="1" max="8" min="8" style="70" width="20"/>
  </cols>
  <sheetData>
    <row customHeight="1" ht="37.5" r="1" s="70">
      <c r="A1" s="72" t="inlineStr">
        <is>
          <t>AAU Financial Adimnstration</t>
        </is>
      </c>
    </row>
    <row customHeight="1" ht="30" r="2" s="70">
      <c r="A2" s="19" t="inlineStr">
        <is>
          <t>College</t>
        </is>
      </c>
      <c r="B2" s="15" t="inlineStr">
        <is>
          <t>Annual Budget</t>
        </is>
      </c>
      <c r="C2" s="15" t="inlineStr">
        <is>
          <t>Budget Transfer</t>
        </is>
      </c>
      <c r="D2" s="15" t="inlineStr">
        <is>
          <t>Reasons for budget tranfer</t>
        </is>
      </c>
      <c r="E2" s="15" t="inlineStr">
        <is>
          <t>Budget Status</t>
        </is>
      </c>
      <c r="F2" s="15" t="inlineStr">
        <is>
          <t>Adjusted Budget</t>
        </is>
      </c>
      <c r="G2" s="15" t="inlineStr">
        <is>
          <t>Undisbursed Amount</t>
        </is>
      </c>
      <c r="H2" s="20" t="inlineStr">
        <is>
          <t>Annual Expenditure</t>
        </is>
      </c>
    </row>
    <row customHeight="1" ht="33" r="3" s="70">
      <c r="A3" s="24" t="inlineStr">
        <is>
          <t>Addis Ababa Institute of Technology</t>
        </is>
      </c>
      <c r="B3" s="38" t="n">
        <v>567899998</v>
      </c>
      <c r="C3" s="38">
        <f>VLOOKUP("Budget Transfer",AAiTFinance!A12:B15,2,FALSE)</f>
        <v/>
      </c>
      <c r="D3" s="49">
        <f>VLOOKUP("Reasons for Budget Transfer",AAiTFinance!A12:B17,2,FALSE)</f>
        <v/>
      </c>
      <c r="E3" s="58" t="inlineStr">
        <is>
          <t>Approved</t>
        </is>
      </c>
      <c r="F3" s="38">
        <f>IF(E3="Approved",B3+C3,B3)</f>
        <v/>
      </c>
      <c r="G3" s="38">
        <f>VLOOKUP("Undisbursed Amount",AAiTFinance!A12:B17,2,FALSE)</f>
        <v/>
      </c>
      <c r="H3" s="39">
        <f>VLOOKUP("Annual Expenditure",AAiTFinance!A12:B17,2,FALSE)</f>
        <v/>
      </c>
    </row>
  </sheetData>
  <mergeCells count="1">
    <mergeCell ref="A1:H1"/>
  </mergeCells>
  <pageMargins bottom="0.75" footer="0.3" header="0.3" left="0.7" right="0.7" top="0.75"/>
  <pageSetup orientation="portrait"/>
  <drawing r:id="rId1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">
    <tabColor rgb="FF92D050"/>
    <outlinePr summaryBelow="1" summaryRight="1"/>
    <pageSetUpPr/>
  </sheetPr>
  <dimension ref="A1:H17"/>
  <sheetViews>
    <sheetView workbookViewId="0">
      <selection activeCell="B17" sqref="B17"/>
    </sheetView>
  </sheetViews>
  <sheetFormatPr baseColWidth="8" defaultRowHeight="15"/>
  <cols>
    <col customWidth="1" max="1" min="1" style="70" width="25.140625"/>
    <col customWidth="1" max="4" min="2" style="70" width="22.85546875"/>
    <col customWidth="1" max="7" min="5" style="70" width="24.28515625"/>
    <col customWidth="1" max="8" min="8" style="70" width="21.42578125"/>
  </cols>
  <sheetData>
    <row customHeight="1" ht="45" r="1" s="70">
      <c r="A1" s="72" t="inlineStr">
        <is>
          <t>AAiT Financial Adminstration</t>
        </is>
      </c>
    </row>
    <row r="2">
      <c r="A2" s="14" t="inlineStr">
        <is>
          <t>Department</t>
        </is>
      </c>
      <c r="B2" s="22" t="inlineStr">
        <is>
          <t>Annual Budget</t>
        </is>
      </c>
      <c r="C2" s="22" t="inlineStr">
        <is>
          <t>Budget Transfer</t>
        </is>
      </c>
      <c r="D2" s="22" t="inlineStr">
        <is>
          <t>Reasons for budget transfer</t>
        </is>
      </c>
      <c r="E2" s="22" t="inlineStr">
        <is>
          <t>Budget Status</t>
        </is>
      </c>
      <c r="F2" s="22" t="inlineStr">
        <is>
          <t>Adjusted Budget</t>
        </is>
      </c>
      <c r="G2" s="22" t="inlineStr">
        <is>
          <t>Undisbursed Amount</t>
        </is>
      </c>
      <c r="H2" s="23" t="inlineStr">
        <is>
          <t>Annual Expenditure</t>
        </is>
      </c>
    </row>
    <row r="3">
      <c r="A3" s="10" t="inlineStr">
        <is>
          <t>Bio-medical Engineering</t>
        </is>
      </c>
      <c r="B3" s="34" t="n">
        <v>120000</v>
      </c>
      <c r="C3" s="34">
        <f>VLOOKUP("Budget Transfer",Biomedical!A16:B19,2,FALSE)</f>
        <v/>
      </c>
      <c r="D3" s="50">
        <f>VLOOKUP("Reasons for Budget Transfer",Biomedical!A16:B26,2,FALSE)</f>
        <v/>
      </c>
      <c r="E3" s="50" t="inlineStr">
        <is>
          <t>Approved</t>
        </is>
      </c>
      <c r="F3" s="34">
        <f>IF(E3 = "Approved",B3 + C3,B3)</f>
        <v/>
      </c>
      <c r="G3" s="34">
        <f>F3-H3</f>
        <v/>
      </c>
      <c r="H3" s="36">
        <f>VLOOKUP("Annual Expenditure",Biomedical!A16:B21,2,FALSE)</f>
        <v/>
      </c>
    </row>
    <row r="4">
      <c r="A4" s="10" t="inlineStr">
        <is>
          <t>Chemical Engineering</t>
        </is>
      </c>
      <c r="B4" s="34" t="n">
        <v>120000</v>
      </c>
      <c r="C4" s="34">
        <f>VLOOKUP("Budget Transfer",Chemical!A16:B19,2,FALSE)</f>
        <v/>
      </c>
      <c r="D4" s="50">
        <f>VLOOKUP("Reasons for Budget Transfer",Chemical!A16:B21,2,FALSE)</f>
        <v/>
      </c>
      <c r="E4" s="50" t="inlineStr">
        <is>
          <t>Approved</t>
        </is>
      </c>
      <c r="F4" s="34">
        <f>IF(E4 = "Approved",B4 + C4,B4)</f>
        <v/>
      </c>
      <c r="G4" s="34">
        <f>F4-H4</f>
        <v/>
      </c>
      <c r="H4" s="36">
        <f>VLOOKUP("Annual Expenditure", Chemical!A16:B21,2,FALSE)</f>
        <v/>
      </c>
    </row>
    <row r="5">
      <c r="A5" s="10" t="inlineStr">
        <is>
          <t>Civil Engineering</t>
        </is>
      </c>
      <c r="B5" s="34" t="n">
        <v>120000</v>
      </c>
      <c r="C5" s="34">
        <f>VLOOKUP("Budget Transfer",Civil!A16:B19,2,FALSE)</f>
        <v/>
      </c>
      <c r="D5" s="50">
        <f>VLOOKUP("Reasons for Budget Transfer",Civil!A16:B21,2,FALSE)</f>
        <v/>
      </c>
      <c r="E5" s="50" t="inlineStr">
        <is>
          <t>Approved</t>
        </is>
      </c>
      <c r="F5" s="34">
        <f>IF(E5 = "Approved",B5 + C5,B5)</f>
        <v/>
      </c>
      <c r="G5" s="34">
        <f>F5-H5</f>
        <v/>
      </c>
      <c r="H5" s="36">
        <f>VLOOKUP("Annual Expenditure", Civil!A16:B21,2,FALSE)</f>
        <v/>
      </c>
    </row>
    <row r="6">
      <c r="A6" s="10" t="inlineStr">
        <is>
          <t>Electrical Engineering</t>
        </is>
      </c>
      <c r="B6" s="34" t="n">
        <v>120000</v>
      </c>
      <c r="C6" s="34">
        <f>VLOOKUP("Budget Transfer",Electrical!A16:B19,2,FALSE)</f>
        <v/>
      </c>
      <c r="D6" s="50">
        <f>VLOOKUP("Reasons for Budget Transfer",Electrical!A16:B21,2,FALSE)</f>
        <v/>
      </c>
      <c r="E6" s="50" t="inlineStr">
        <is>
          <t>Approved</t>
        </is>
      </c>
      <c r="F6" s="34">
        <f>IF(E6 = "Approved",B6 + C6,B6)</f>
        <v/>
      </c>
      <c r="G6" s="34">
        <f>F6-H6</f>
        <v/>
      </c>
      <c r="H6" s="36">
        <f>VLOOKUP("Annual Expenditure", Electrical!A16:B21,2,FALSE)</f>
        <v/>
      </c>
    </row>
    <row r="7">
      <c r="A7" s="10" t="inlineStr">
        <is>
          <t>ITSC</t>
        </is>
      </c>
      <c r="B7" s="34" t="n">
        <v>120000</v>
      </c>
      <c r="C7" s="34">
        <f>VLOOKUP("Budget Transfer",ITSC!A16:B19,2,FALSE)</f>
        <v/>
      </c>
      <c r="D7" s="50">
        <f>VLOOKUP("Reasons for Budget Transfer",ITSC!A16:B21,2,FALSE)</f>
        <v/>
      </c>
      <c r="E7" s="50" t="inlineStr">
        <is>
          <t>Approved</t>
        </is>
      </c>
      <c r="F7" s="34">
        <f>IF(E7 = "Approved",B7 + C7,B7)</f>
        <v/>
      </c>
      <c r="G7" s="34">
        <f>F7-H7</f>
        <v/>
      </c>
      <c r="H7" s="36">
        <f>VLOOKUP("Annual Expenditure",ITSC!A16:B21,2,FALSE)</f>
        <v/>
      </c>
    </row>
    <row r="8">
      <c r="A8" s="12" t="inlineStr">
        <is>
          <t>Mechanical Engineering</t>
        </is>
      </c>
      <c r="B8" s="35" t="n">
        <v>120000</v>
      </c>
      <c r="C8" s="35">
        <f>VLOOKUP("Budget Transfer",Mechanical!A16:B19,2,FALSE)</f>
        <v/>
      </c>
      <c r="D8" s="51">
        <f>VLOOKUP("Reasons for Budget Transfer",Mechanical!A16:B21,2,FALSE)</f>
        <v/>
      </c>
      <c r="E8" s="51" t="inlineStr">
        <is>
          <t>Approved</t>
        </is>
      </c>
      <c r="F8" s="35">
        <f>IF(E8 = "Approved",B8 + C8,B8)</f>
        <v/>
      </c>
      <c r="G8" s="35">
        <f>F8-H8</f>
        <v/>
      </c>
      <c r="H8" s="37">
        <f>VLOOKUP("Annual Expenditure",Mechanical!A16:B21,2,FALSE)</f>
        <v/>
      </c>
    </row>
    <row customHeight="1" ht="37.5" r="11" s="70">
      <c r="A11" s="73" t="inlineStr">
        <is>
          <t>AAiT Budget status</t>
        </is>
      </c>
      <c r="B11" s="74" t="n"/>
    </row>
    <row r="12">
      <c r="A12" s="84" t="inlineStr">
        <is>
          <t>Annual Budget</t>
        </is>
      </c>
      <c r="B12" s="28">
        <f>VLOOKUP("Addis Ababa Institute of Technology", AAUFinance!A3:H3,2,FALSE)</f>
        <v/>
      </c>
    </row>
    <row r="13">
      <c r="A13" s="84" t="inlineStr">
        <is>
          <t>Budget Transfer</t>
        </is>
      </c>
      <c r="B13" s="28" t="n">
        <v>500000</v>
      </c>
    </row>
    <row r="14">
      <c r="A14" s="84" t="inlineStr">
        <is>
          <t>Reasons for Budget Transfer</t>
        </is>
      </c>
      <c r="B14" s="41" t="inlineStr">
        <is>
          <t xml:space="preserve">Increasing salaries
</t>
        </is>
      </c>
    </row>
    <row r="15">
      <c r="A15" s="84" t="inlineStr">
        <is>
          <t>Adjusted Budget</t>
        </is>
      </c>
      <c r="B15" s="28">
        <f>VLOOKUP("Addis Ababa Institute of Technology",AAUFinance!A1:G3, 6,FALSE )</f>
        <v/>
      </c>
    </row>
    <row r="16">
      <c r="A16" s="84" t="inlineStr">
        <is>
          <t>Undisbursed Amount</t>
        </is>
      </c>
      <c r="B16" s="28">
        <f>SUM(G3:G8)</f>
        <v/>
      </c>
    </row>
    <row r="17">
      <c r="A17" s="84" t="inlineStr">
        <is>
          <t>Annual Expenditure</t>
        </is>
      </c>
      <c r="B17" s="28">
        <f>SUM(H3:H8)</f>
        <v/>
      </c>
    </row>
  </sheetData>
  <mergeCells count="2">
    <mergeCell ref="A11:B11"/>
    <mergeCell ref="A1:H1"/>
  </mergeCells>
  <pageMargins bottom="0.75" footer="0.3" header="0.3" left="0.7" right="0.7" top="0.75"/>
  <drawing r:id="rId1"/>
  <tableParts count="1">
    <tablePart r:id="rId2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12">
    <tabColor rgb="FF92D050"/>
    <outlinePr summaryBelow="1" summaryRight="1"/>
    <pageSetUpPr fitToPage="1"/>
  </sheetPr>
  <dimension ref="A1:L10"/>
  <sheetViews>
    <sheetView workbookViewId="0" zoomScaleNormal="100">
      <selection activeCell="D13" sqref="D13"/>
    </sheetView>
  </sheetViews>
  <sheetFormatPr baseColWidth="8" defaultRowHeight="15"/>
  <cols>
    <col customWidth="1" max="1" min="1" style="70" width="22.5703125"/>
    <col customWidth="1" max="4" min="2" style="70" width="20"/>
    <col customWidth="1" max="5" min="5" style="70" width="14.5703125"/>
    <col customWidth="1" max="6" min="6" style="70" width="12.140625"/>
    <col customWidth="1" max="7" min="7" style="70" width="11.7109375"/>
    <col customWidth="1" max="8" min="8" style="70" width="12"/>
    <col customWidth="1" max="9" min="9" style="70" width="12.140625"/>
    <col customWidth="1" max="10" min="10" style="70" width="13.7109375"/>
    <col customWidth="1" max="11" min="11" style="70" width="12.5703125"/>
    <col customWidth="1" max="12" min="12" style="70" width="22.5703125"/>
  </cols>
  <sheetData>
    <row customHeight="1" ht="37.5" r="1" s="70">
      <c r="A1" s="75" t="inlineStr">
        <is>
          <t xml:space="preserve">AAiT Budget Report </t>
        </is>
      </c>
    </row>
    <row customHeight="1" ht="27.75" r="2" s="70">
      <c r="A2" s="54" t="n"/>
      <c r="B2" s="76" t="inlineStr">
        <is>
          <t>Budget Codes</t>
        </is>
      </c>
      <c r="C2" s="77" t="n"/>
      <c r="D2" s="77" t="n"/>
      <c r="E2" s="77" t="n"/>
      <c r="F2" s="77" t="n"/>
      <c r="G2" s="77" t="n"/>
      <c r="H2" s="77" t="n"/>
      <c r="I2" s="77" t="n"/>
      <c r="J2" s="77" t="n"/>
      <c r="K2" s="78" t="n"/>
      <c r="L2" s="55" t="n"/>
    </row>
    <row r="3">
      <c r="A3" s="27" t="inlineStr">
        <is>
          <t>Department</t>
        </is>
      </c>
      <c r="B3" s="56" t="inlineStr">
        <is>
          <t>6111</t>
        </is>
      </c>
      <c r="C3" s="11" t="inlineStr">
        <is>
          <t>6113</t>
        </is>
      </c>
      <c r="D3" s="11" t="inlineStr">
        <is>
          <t>6121</t>
        </is>
      </c>
      <c r="E3" s="11" t="inlineStr">
        <is>
          <t>6211</t>
        </is>
      </c>
      <c r="F3" s="11" t="inlineStr">
        <is>
          <t>6212</t>
        </is>
      </c>
      <c r="G3" s="11" t="inlineStr">
        <is>
          <t>6218</t>
        </is>
      </c>
      <c r="H3" s="11" t="inlineStr">
        <is>
          <t>6233</t>
        </is>
      </c>
      <c r="I3" s="11" t="inlineStr">
        <is>
          <t>6240</t>
        </is>
      </c>
      <c r="J3" s="11" t="inlineStr">
        <is>
          <t>6256</t>
        </is>
      </c>
      <c r="K3" s="11" t="inlineStr">
        <is>
          <t>6271</t>
        </is>
      </c>
      <c r="L3" s="26" t="inlineStr">
        <is>
          <t>Expenditure</t>
        </is>
      </c>
    </row>
    <row r="4">
      <c r="A4" s="10" t="inlineStr">
        <is>
          <t>Bio-medical Engineering</t>
        </is>
      </c>
      <c r="B4" s="28">
        <f>VLOOKUP(6111,Biomedical!A3:E12,5,FALSE)</f>
        <v/>
      </c>
      <c r="C4" s="28">
        <f>VLOOKUP(6113,Biomedical!A3:E12,5,FALSE)</f>
        <v/>
      </c>
      <c r="D4" s="28">
        <f>VLOOKUP(6121,Biomedical!A3:E12,5,FALSE)</f>
        <v/>
      </c>
      <c r="E4" s="28">
        <f>VLOOKUP(6211,Biomedical!A3:E12,5,FALSE)</f>
        <v/>
      </c>
      <c r="F4" s="28">
        <f>VLOOKUP(6212,Biomedical!A3:E12,5,FALSE)</f>
        <v/>
      </c>
      <c r="G4" s="28">
        <f>VLOOKUP(6218,Biomedical!A3:E12,5,FALSE)</f>
        <v/>
      </c>
      <c r="H4" s="28">
        <f>VLOOKUP(6233,Biomedical!A3:E12,5,FALSE)</f>
        <v/>
      </c>
      <c r="I4" s="28">
        <f>VLOOKUP(6240,Biomedical!A3:E12,5,FALSE)</f>
        <v/>
      </c>
      <c r="J4" s="28">
        <f>VLOOKUP(6256,Biomedical!A3:E12,5,FALSE)</f>
        <v/>
      </c>
      <c r="K4" s="28">
        <f>VLOOKUP(6271,Biomedical!A3:E12,5,FALSE)</f>
        <v/>
      </c>
      <c r="L4" s="29">
        <f>VLOOKUP("Annual Expenditure",Biomedical!A16:B21,2,FALSE)</f>
        <v/>
      </c>
    </row>
    <row r="5">
      <c r="A5" s="10" t="inlineStr">
        <is>
          <t>Chemical Engineering</t>
        </is>
      </c>
      <c r="B5" s="28">
        <f>VLOOKUP(6111,Chemical!A3:E12,5,FALSE)</f>
        <v/>
      </c>
      <c r="C5" s="28">
        <f>VLOOKUP(6113,Chemical!A3:E12,5,FALSE)</f>
        <v/>
      </c>
      <c r="D5" s="28">
        <f>VLOOKUP(6121,Chemical!A3:E12,5,FALSE)</f>
        <v/>
      </c>
      <c r="E5" s="28">
        <f>VLOOKUP(6211,Chemical!A3:E12,5,FALSE)</f>
        <v/>
      </c>
      <c r="F5" s="28">
        <f>VLOOKUP(6212,Chemical!A3:E12,5,FALSE)</f>
        <v/>
      </c>
      <c r="G5" s="28">
        <f>VLOOKUP(6218,Chemical!A3:E12,5,FALSE)</f>
        <v/>
      </c>
      <c r="H5" s="28">
        <f>VLOOKUP(6233,Chemical!A3:E12,5,FALSE)</f>
        <v/>
      </c>
      <c r="I5" s="28">
        <f>VLOOKUP(6240,Chemical!A3:E12,5,FALSE)</f>
        <v/>
      </c>
      <c r="J5" s="28">
        <f>VLOOKUP(6256,Chemical!A3:E12,5,FALSE)</f>
        <v/>
      </c>
      <c r="K5" s="28">
        <f>VLOOKUP(6271,Chemical!A3:E12,5,FALSE)</f>
        <v/>
      </c>
      <c r="L5" s="29">
        <f>VLOOKUP("Annual Expenditure",Chemical!A16:B21,2,FALSE)</f>
        <v/>
      </c>
    </row>
    <row r="6">
      <c r="A6" s="10" t="inlineStr">
        <is>
          <t>Civil Engineering</t>
        </is>
      </c>
      <c r="B6" s="28">
        <f>VLOOKUP(6111,Civil!A3:E12,5,FALSE)</f>
        <v/>
      </c>
      <c r="C6" s="28">
        <f>VLOOKUP(6113,Civil!A3:E12,5,FALSE)</f>
        <v/>
      </c>
      <c r="D6" s="28">
        <f>VLOOKUP(6121,Civil!A3:E12,5,FALSE)</f>
        <v/>
      </c>
      <c r="E6" s="28">
        <f>VLOOKUP(6211,Civil!A3:E12,5,FALSE)</f>
        <v/>
      </c>
      <c r="F6" s="28">
        <f>VLOOKUP(6212,Civil!A3:E12,5,FALSE)</f>
        <v/>
      </c>
      <c r="G6" s="28">
        <f>VLOOKUP(6218,Civil!A3:E12,5,FALSE)</f>
        <v/>
      </c>
      <c r="H6" s="28">
        <f>VLOOKUP(6233,Civil!A3:E12,5,FALSE)</f>
        <v/>
      </c>
      <c r="I6" s="28">
        <f>VLOOKUP(6240,Civil!A3:E12,5,FALSE)</f>
        <v/>
      </c>
      <c r="J6" s="28">
        <f>VLOOKUP(6256,Civil!A3:E12,5,FALSE)</f>
        <v/>
      </c>
      <c r="K6" s="28">
        <f>VLOOKUP(6271,Civil!A3:E12,5,FALSE)</f>
        <v/>
      </c>
      <c r="L6" s="29">
        <f>VLOOKUP("Annual Expenditure",Civil!A16:B21,2,FALSE)</f>
        <v/>
      </c>
    </row>
    <row r="7">
      <c r="A7" s="10" t="inlineStr">
        <is>
          <t>Electrical Engineering</t>
        </is>
      </c>
      <c r="B7" s="28">
        <f>VLOOKUP(6111,Electrical!A3:E12,5,FALSE)</f>
        <v/>
      </c>
      <c r="C7" s="28">
        <f>VLOOKUP(6113,Electrical!A3:E12,5,FALSE)</f>
        <v/>
      </c>
      <c r="D7" s="28">
        <f>VLOOKUP(6121,Electrical!A3:E12,5,FALSE)</f>
        <v/>
      </c>
      <c r="E7" s="28">
        <f>VLOOKUP(6211,Electrical!A3:E12,5,FALSE)</f>
        <v/>
      </c>
      <c r="F7" s="28">
        <f>VLOOKUP(6212,Electrical!A3:E12,5,FALSE)</f>
        <v/>
      </c>
      <c r="G7" s="28">
        <f>VLOOKUP(6218,Electrical!A3:E12,5,FALSE)</f>
        <v/>
      </c>
      <c r="H7" s="28">
        <f>VLOOKUP(6233,Electrical!A3:E12,5,FALSE)</f>
        <v/>
      </c>
      <c r="I7" s="28">
        <f>VLOOKUP(6240,Electrical!A3:E12,5,FALSE)</f>
        <v/>
      </c>
      <c r="J7" s="28">
        <f>VLOOKUP(6256,Electrical!A3:E12,5,FALSE)</f>
        <v/>
      </c>
      <c r="K7" s="28">
        <f>VLOOKUP(6271,Electrical!A3:E12,5,FALSE)</f>
        <v/>
      </c>
      <c r="L7" s="29">
        <f>VLOOKUP("Annual Expenditure",Electrical!A16:B21,2,FALSE)</f>
        <v/>
      </c>
    </row>
    <row r="8">
      <c r="A8" s="10" t="inlineStr">
        <is>
          <t>ITSC</t>
        </is>
      </c>
      <c r="B8" s="28">
        <f>VLOOKUP(6111,ITSC!A3:E12,5,FALSE)</f>
        <v/>
      </c>
      <c r="C8" s="28">
        <f>VLOOKUP(6113,ITSC!A3:E12,5,FALSE)</f>
        <v/>
      </c>
      <c r="D8" s="28">
        <f>VLOOKUP(6121,ITSC!A3:E12,5,FALSE)</f>
        <v/>
      </c>
      <c r="E8" s="28">
        <f>VLOOKUP(6211,ITSC!A3:E12,5,FALSE)</f>
        <v/>
      </c>
      <c r="F8" s="28">
        <f>VLOOKUP(6212,ITSC!A3:E12,5,FALSE)</f>
        <v/>
      </c>
      <c r="G8" s="28">
        <f>VLOOKUP(6218,ITSC!A3:E12,5,FALSE)</f>
        <v/>
      </c>
      <c r="H8" s="28">
        <f>VLOOKUP(6233,ITSC!A3:E12,5,FALSE)</f>
        <v/>
      </c>
      <c r="I8" s="28">
        <f>VLOOKUP(6240,ITSC!A3:E12,5,FALSE)</f>
        <v/>
      </c>
      <c r="J8" s="28">
        <f>VLOOKUP(6256,ITSC!A3:E12,5,FALSE)</f>
        <v/>
      </c>
      <c r="K8" s="28">
        <f>VLOOKUP(6271,ITSC!A3:E12,5,FALSE)</f>
        <v/>
      </c>
      <c r="L8" s="29">
        <f>VLOOKUP("Annual Expenditure",ITSC!A16:B21,2,FALSE)</f>
        <v/>
      </c>
    </row>
    <row r="9">
      <c r="A9" s="10" t="inlineStr">
        <is>
          <t>Mechanical Engineering</t>
        </is>
      </c>
      <c r="B9" s="28">
        <f>VLOOKUP(6111,Mechanical!A3:E12,5,FALSE)</f>
        <v/>
      </c>
      <c r="C9" s="28">
        <f>VLOOKUP(6113,Mechanical!A3:E12,5,FALSE)</f>
        <v/>
      </c>
      <c r="D9" s="28">
        <f>VLOOKUP(6121,Mechanical!A3:E12,5,FALSE)</f>
        <v/>
      </c>
      <c r="E9" s="28">
        <f>VLOOKUP(6211,Mechanical!A3:E12,5,FALSE)</f>
        <v/>
      </c>
      <c r="F9" s="28">
        <f>VLOOKUP(6212,Mechanical!A3:E12,5,FALSE)</f>
        <v/>
      </c>
      <c r="G9" s="28">
        <f>VLOOKUP(6218,Mechanical!A3:E12,5,FALSE)</f>
        <v/>
      </c>
      <c r="H9" s="28">
        <f>VLOOKUP(6233,Mechanical!A3:E12,5,FALSE)</f>
        <v/>
      </c>
      <c r="I9" s="28">
        <f>VLOOKUP(6240,Mechanical!A3:E12,5,FALSE)</f>
        <v/>
      </c>
      <c r="J9" s="28">
        <f>VLOOKUP(6256,Mechanical!A3:E12,5,FALSE)</f>
        <v/>
      </c>
      <c r="K9" s="28">
        <f>VLOOKUP(6256,Mechanical!A3:E12,5,FALSE)</f>
        <v/>
      </c>
      <c r="L9" s="29">
        <f>VLOOKUP("Annual Expenditure",Mechanical!A16:B21,2,FALSE)</f>
        <v/>
      </c>
    </row>
    <row r="10">
      <c r="A10" s="12" t="inlineStr">
        <is>
          <t>Total Expenditure</t>
        </is>
      </c>
      <c r="B10" s="30">
        <f>SUM(B4:B9)</f>
        <v/>
      </c>
      <c r="C10" s="30">
        <f>SUM(C4:C9)</f>
        <v/>
      </c>
      <c r="D10" s="30">
        <f>SUM(D4:D9)</f>
        <v/>
      </c>
      <c r="E10" s="30">
        <f>SUM(E4:E9)</f>
        <v/>
      </c>
      <c r="F10" s="30">
        <f>SUM(F4:F9)</f>
        <v/>
      </c>
      <c r="G10" s="30">
        <f>SUM(G4:G9)</f>
        <v/>
      </c>
      <c r="H10" s="30">
        <f>SUM(H4:H9)</f>
        <v/>
      </c>
      <c r="I10" s="30">
        <f>SUM(I4:I9)</f>
        <v/>
      </c>
      <c r="J10" s="30">
        <f>SUM(J4:J9)</f>
        <v/>
      </c>
      <c r="K10" s="30">
        <f>SUM(K4:K9)</f>
        <v/>
      </c>
      <c r="L10" s="31">
        <f>SUM(L4:L9)</f>
        <v/>
      </c>
    </row>
  </sheetData>
  <mergeCells count="2">
    <mergeCell ref="A1:L1"/>
    <mergeCell ref="B2:K2"/>
  </mergeCells>
  <printOptions verticalCentered="1"/>
  <pageMargins bottom="0.75" footer="0.3" header="0.3" left="0.7" right="0.7" top="0.75"/>
  <pageSetup horizontalDpi="1200" orientation="landscape" scale="63" verticalDpi="1200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3">
    <tabColor rgb="FFFFFF00"/>
    <outlinePr summaryBelow="1" summaryRight="1"/>
    <pageSetUpPr/>
  </sheetPr>
  <dimension ref="A1:E21"/>
  <sheetViews>
    <sheetView workbookViewId="0" zoomScaleNormal="100">
      <selection activeCell="J25" sqref="J25"/>
    </sheetView>
  </sheetViews>
  <sheetFormatPr baseColWidth="8" defaultRowHeight="15"/>
  <cols>
    <col customWidth="1" max="1" min="1" style="70" width="25.85546875"/>
    <col customWidth="1" max="2" min="2" style="70" width="20"/>
    <col customWidth="1" max="3" min="3" style="70" width="19.85546875"/>
    <col customWidth="1" max="5" min="4" style="70" width="20"/>
  </cols>
  <sheetData>
    <row customHeight="1" ht="45" r="1" s="70">
      <c r="A1" s="79" t="inlineStr">
        <is>
          <t>Center of Biomedical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VLOOKUP(6111,BiomedicalReport!F3:G12,2,FALSE)</f>
        <v/>
      </c>
    </row>
    <row r="4">
      <c r="A4" s="17" t="n">
        <v>6113</v>
      </c>
      <c r="B4" s="84" t="n"/>
      <c r="C4" s="28">
        <f>B21*(B4*0.001)</f>
        <v/>
      </c>
      <c r="D4" s="28">
        <f>C4-E4</f>
        <v/>
      </c>
      <c r="E4" s="29">
        <f>VLOOKUP(6113,BiomedicalReport!F3:G12,2,FALSE)</f>
        <v/>
      </c>
    </row>
    <row r="5">
      <c r="A5" s="17" t="n">
        <v>6121</v>
      </c>
      <c r="B5" s="84" t="n"/>
      <c r="C5" s="28">
        <f>B22*(B5*0.001)</f>
        <v/>
      </c>
      <c r="D5" s="28">
        <f>C5-E5</f>
        <v/>
      </c>
      <c r="E5" s="29">
        <f>VLOOKUP(6121,BiomedicalReport!F3:G12,2,FALSE)</f>
        <v/>
      </c>
    </row>
    <row r="6">
      <c r="A6" s="17" t="n">
        <v>6211</v>
      </c>
      <c r="B6" s="84" t="n"/>
      <c r="C6" s="28">
        <f>B23*(B6*0.001)</f>
        <v/>
      </c>
      <c r="D6" s="28">
        <f>C6-E6</f>
        <v/>
      </c>
      <c r="E6" s="29">
        <f>VLOOKUP(6211,BiomedicalReport!F3:G12,2,FALSE)</f>
        <v/>
      </c>
    </row>
    <row r="7">
      <c r="A7" s="17" t="n">
        <v>6212</v>
      </c>
      <c r="B7" s="84" t="n"/>
      <c r="C7" s="28">
        <f>B24*(B7*0.001)</f>
        <v/>
      </c>
      <c r="D7" s="28">
        <f>C7-E7</f>
        <v/>
      </c>
      <c r="E7" s="29">
        <f>VLOOKUP(6212,BiomedicalReport!F3:G12,2,FALSE)</f>
        <v/>
      </c>
    </row>
    <row r="8">
      <c r="A8" s="17" t="n">
        <v>6218</v>
      </c>
      <c r="B8" s="84" t="n"/>
      <c r="C8" s="28">
        <f>B25*(B8*0.001)</f>
        <v/>
      </c>
      <c r="D8" s="28">
        <f>C8-E8</f>
        <v/>
      </c>
      <c r="E8" s="29">
        <f>VLOOKUP(6218,BiomedicalReport!F3:G12,2,FALSE)</f>
        <v/>
      </c>
    </row>
    <row r="9">
      <c r="A9" s="17" t="n">
        <v>6233</v>
      </c>
      <c r="B9" s="84" t="n"/>
      <c r="C9" s="28">
        <f>B26*(B9*0.001)</f>
        <v/>
      </c>
      <c r="D9" s="28">
        <f>C9-E9</f>
        <v/>
      </c>
      <c r="E9" s="29">
        <f>VLOOKUP(6233,BiomedicalReport!F3:G12,2,FALSE)</f>
        <v/>
      </c>
    </row>
    <row r="10">
      <c r="A10" s="17" t="n">
        <v>6240</v>
      </c>
      <c r="B10" s="84" t="n"/>
      <c r="C10" s="28">
        <f>B27*(B10*0.001)</f>
        <v/>
      </c>
      <c r="D10" s="28">
        <f>C10-E10</f>
        <v/>
      </c>
      <c r="E10" s="29">
        <f>VLOOKUP(6240,BiomedicalReport!F3:G12,2,FALSE)</f>
        <v/>
      </c>
    </row>
    <row r="11">
      <c r="A11" s="17" t="n">
        <v>6256</v>
      </c>
      <c r="B11" s="84" t="n"/>
      <c r="C11" s="28">
        <f>B28*(B11*0.001)</f>
        <v/>
      </c>
      <c r="D11" s="28">
        <f>C11-E11</f>
        <v/>
      </c>
      <c r="E11" s="29">
        <f>VLOOKUP(6256,BiomedicalReport!F3:G12,2,FALSE)</f>
        <v/>
      </c>
    </row>
    <row customHeight="1" ht="15" r="12" s="70">
      <c r="A12" s="21" t="n">
        <v>6271</v>
      </c>
      <c r="B12" s="13" t="n"/>
      <c r="C12" s="30">
        <f>B29*(B12*0.001)</f>
        <v/>
      </c>
      <c r="D12" s="30">
        <f>C12-E12</f>
        <v/>
      </c>
      <c r="E12" s="31">
        <f>VLOOKUP(6271,BiomedicalReport!F3:G12,2,FALSE)</f>
        <v/>
      </c>
    </row>
    <row customHeight="1" ht="18.75" r="15" s="70">
      <c r="A15" s="73" t="inlineStr">
        <is>
          <t>Biomedical Budget Status</t>
        </is>
      </c>
      <c r="B15" s="74" t="n"/>
    </row>
    <row r="16">
      <c r="A16" s="84" t="inlineStr">
        <is>
          <t>Annual Budget</t>
        </is>
      </c>
      <c r="B16" s="28">
        <f>VLOOKUP("Bio-medical Engineering",AAiTFinance!A3:H8,2,FALSE)</f>
        <v/>
      </c>
    </row>
    <row customHeight="1" ht="15" r="17" s="70">
      <c r="A17" s="84" t="inlineStr">
        <is>
          <t>Budget Transfer</t>
        </is>
      </c>
      <c r="B17" s="28" t="n">
        <v>0</v>
      </c>
    </row>
    <row customHeight="1" ht="15" r="18" s="70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VLOOKUP("Bio-medical Engineering",AAiTFinance!A3:F8, 6,FALSE )</f>
        <v/>
      </c>
    </row>
    <row r="20">
      <c r="A20" s="84" t="inlineStr">
        <is>
          <t>Undisbursed Amount</t>
        </is>
      </c>
      <c r="B20" s="28">
        <f>B19-B21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5:B15"/>
    <mergeCell ref="A1:E1"/>
  </mergeCells>
  <pageMargins bottom="0.75" footer="0.3" header="0.3" left="0.7" right="0.7" top="0.75"/>
  <drawing r:id="rId1"/>
  <tableParts count="1">
    <tablePart r:id="rId2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13">
    <tabColor rgb="FFFFFF00"/>
    <outlinePr summaryBelow="1" summaryRight="1"/>
    <pageSetUpPr/>
  </sheetPr>
  <dimension ref="A1:G400"/>
  <sheetViews>
    <sheetView workbookViewId="0">
      <selection activeCell="G3" sqref="G3"/>
    </sheetView>
  </sheetViews>
  <sheetFormatPr baseColWidth="8" defaultRowHeight="15"/>
  <cols>
    <col customWidth="1" max="1" min="1" style="70" width="17.28515625"/>
    <col customWidth="1" max="2" min="2" style="70" width="15.7109375"/>
    <col customWidth="1" max="3" min="3" style="70" width="23.5703125"/>
    <col customWidth="1" max="4" min="4" style="70" width="18.28515625"/>
    <col customWidth="1" max="6" min="6" style="70" width="21.7109375"/>
    <col customWidth="1" max="7" min="7" style="70" width="20.42578125"/>
  </cols>
  <sheetData>
    <row customHeight="1" ht="43.5" r="1" s="70">
      <c r="A1" s="80" t="inlineStr">
        <is>
          <t>Budget Report of School of Biomedical Engineering</t>
        </is>
      </c>
      <c r="F1" s="80" t="inlineStr">
        <is>
          <t>Summarized format of the report Biomedical Engineering</t>
        </is>
      </c>
    </row>
    <row customHeight="1" ht="33.75" r="2" s="70">
      <c r="A2" s="4" t="inlineStr">
        <is>
          <t>Date</t>
        </is>
      </c>
      <c r="B2" s="4" t="inlineStr">
        <is>
          <t>Budget Code</t>
        </is>
      </c>
      <c r="C2" s="5" t="inlineStr">
        <is>
          <t>Reason for withdrawal</t>
        </is>
      </c>
      <c r="D2" s="4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C3" s="42" t="n"/>
      <c r="D3" s="40" t="n"/>
      <c r="F3" s="6" t="n">
        <v>6111</v>
      </c>
      <c r="G3" s="40">
        <f>SUMIF(Table5[Budget Code],"=6111", Table5[Withdrawal])</f>
        <v/>
      </c>
    </row>
    <row r="4">
      <c r="C4" s="42" t="n"/>
      <c r="D4" s="40" t="n"/>
      <c r="F4" s="7" t="n">
        <v>6113</v>
      </c>
      <c r="G4" s="40">
        <f>SUMIF(Table5[Budget Code],"=6113",Table5[Withdrawal])</f>
        <v/>
      </c>
    </row>
    <row r="5">
      <c r="C5" s="42" t="n"/>
      <c r="D5" s="40" t="n"/>
      <c r="F5" s="7" t="n">
        <v>6121</v>
      </c>
      <c r="G5" s="40">
        <f>SUMIF(Table5[Budget Code],"=6121", Table5[Withdrawal])</f>
        <v/>
      </c>
    </row>
    <row r="6">
      <c r="C6" s="42" t="n"/>
      <c r="D6" s="40" t="n"/>
      <c r="F6" s="7" t="n">
        <v>6211</v>
      </c>
      <c r="G6" s="40">
        <f>SUMIF(Table5[Budget Code],"=6211", Table5[Withdrawal])</f>
        <v/>
      </c>
    </row>
    <row r="7">
      <c r="C7" s="42" t="n"/>
      <c r="D7" s="40" t="n"/>
      <c r="F7" s="7" t="n">
        <v>6212</v>
      </c>
      <c r="G7" s="40">
        <f>SUMIF(Table5[Budget Code],"=6212", Table5[Withdrawal])</f>
        <v/>
      </c>
    </row>
    <row r="8">
      <c r="C8" s="42" t="n"/>
      <c r="D8" s="40" t="n"/>
      <c r="F8" s="7" t="n">
        <v>6218</v>
      </c>
      <c r="G8" s="40">
        <f>SUMIF(Table5[Budget Code],"=6218", Table5[Withdrawal])</f>
        <v/>
      </c>
    </row>
    <row r="9">
      <c r="C9" s="42" t="n"/>
      <c r="D9" s="40" t="n"/>
      <c r="F9" s="7" t="n">
        <v>6233</v>
      </c>
      <c r="G9" s="40">
        <f>SUMIF(Table5[Budget Code],"=6233", Table5[Withdrawal])</f>
        <v/>
      </c>
    </row>
    <row r="10">
      <c r="C10" s="42" t="n"/>
      <c r="D10" s="40" t="n"/>
      <c r="F10" s="7" t="n">
        <v>6240</v>
      </c>
      <c r="G10" s="40">
        <f>SUMIF(Table5[Budget Code],"=6240", Table5[Withdrawal])</f>
        <v/>
      </c>
    </row>
    <row r="11">
      <c r="C11" s="42" t="n"/>
      <c r="D11" s="40" t="n"/>
      <c r="F11" s="7" t="n">
        <v>6256</v>
      </c>
      <c r="G11" s="40">
        <f>SUMIF(Table5[Budget Code],"=6256", Table5[Withdrawal])</f>
        <v/>
      </c>
    </row>
    <row r="12">
      <c r="C12" s="42" t="n"/>
      <c r="D12" s="40" t="n"/>
      <c r="F12" s="7" t="n">
        <v>6271</v>
      </c>
      <c r="G12" s="40">
        <f>SUMIF(Table5[Budget Code],"=6271", Table5[Withdrawal])</f>
        <v/>
      </c>
    </row>
    <row r="13">
      <c r="C13" s="42" t="n"/>
      <c r="D13" s="40" t="n"/>
      <c r="F13" s="8" t="inlineStr">
        <is>
          <t>Annual Expenditure</t>
        </is>
      </c>
      <c r="G13" s="33">
        <f>SUBTOTAL(109,Table71516[Withdrawal])</f>
        <v/>
      </c>
    </row>
    <row r="14">
      <c r="C14" s="42" t="n"/>
      <c r="D14" s="40" t="n"/>
    </row>
    <row r="15">
      <c r="C15" s="42" t="n"/>
      <c r="D15" s="40" t="n"/>
    </row>
    <row r="16">
      <c r="C16" s="42" t="n"/>
      <c r="D16" s="40" t="n"/>
    </row>
    <row r="17">
      <c r="C17" s="42" t="n"/>
      <c r="D17" s="40" t="n"/>
    </row>
    <row r="18">
      <c r="C18" s="42" t="n"/>
      <c r="D18" s="40" t="n"/>
    </row>
    <row r="19">
      <c r="C19" s="42" t="n"/>
      <c r="D19" s="40" t="n"/>
    </row>
    <row r="20">
      <c r="C20" s="42" t="n"/>
      <c r="D20" s="40" t="n"/>
    </row>
    <row r="21">
      <c r="C21" s="42" t="n"/>
      <c r="D21" s="40" t="n"/>
    </row>
    <row r="22">
      <c r="C22" s="42" t="n"/>
      <c r="D22" s="40" t="n"/>
    </row>
    <row r="23">
      <c r="C23" s="42" t="n"/>
      <c r="D23" s="40" t="n"/>
    </row>
    <row r="24">
      <c r="C24" s="42" t="n"/>
      <c r="D24" s="40" t="n"/>
    </row>
    <row r="25">
      <c r="C25" s="42" t="n"/>
      <c r="D25" s="40" t="n"/>
    </row>
    <row r="26">
      <c r="C26" s="42" t="n"/>
      <c r="D26" s="40" t="n"/>
    </row>
    <row r="27">
      <c r="C27" s="42" t="n"/>
      <c r="D27" s="40" t="n"/>
    </row>
    <row r="28">
      <c r="C28" s="42" t="n"/>
      <c r="D28" s="40" t="n"/>
    </row>
    <row r="29">
      <c r="C29" s="42" t="n"/>
      <c r="D29" s="40" t="n"/>
    </row>
    <row r="30">
      <c r="C30" s="42" t="n"/>
      <c r="D30" s="40" t="n"/>
    </row>
    <row r="31">
      <c r="C31" s="42" t="n"/>
      <c r="D31" s="40" t="n"/>
    </row>
    <row r="32">
      <c r="C32" s="42" t="n"/>
      <c r="D32" s="40" t="n"/>
    </row>
    <row r="33">
      <c r="C33" s="42" t="n"/>
      <c r="D33" s="40" t="n"/>
    </row>
    <row r="34">
      <c r="C34" s="42" t="n"/>
      <c r="D34" s="40" t="n"/>
    </row>
    <row r="35">
      <c r="C35" s="42" t="n"/>
      <c r="D35" s="40" t="n"/>
    </row>
    <row r="36">
      <c r="C36" s="42" t="n"/>
      <c r="D36" s="40" t="n"/>
    </row>
    <row r="37">
      <c r="C37" s="42" t="n"/>
      <c r="D37" s="40" t="n"/>
    </row>
    <row r="38">
      <c r="C38" s="42" t="n"/>
      <c r="D38" s="40" t="n"/>
    </row>
    <row r="39">
      <c r="C39" s="42" t="n"/>
      <c r="D39" s="40" t="n"/>
    </row>
    <row r="40">
      <c r="C40" s="42" t="n"/>
      <c r="D40" s="40" t="n"/>
    </row>
    <row r="41">
      <c r="C41" s="42" t="n"/>
      <c r="D41" s="40" t="n"/>
    </row>
    <row r="42">
      <c r="C42" s="42" t="n"/>
      <c r="D42" s="40" t="n"/>
    </row>
    <row r="43">
      <c r="C43" s="42" t="n"/>
      <c r="D43" s="40" t="n"/>
    </row>
    <row r="44">
      <c r="C44" s="42" t="n"/>
      <c r="D44" s="40" t="n"/>
    </row>
    <row r="45">
      <c r="C45" s="42" t="n"/>
      <c r="D45" s="40" t="n"/>
    </row>
    <row r="46">
      <c r="C46" s="42" t="n"/>
      <c r="D46" s="40" t="n"/>
    </row>
    <row r="47">
      <c r="C47" s="42" t="n"/>
      <c r="D47" s="40" t="n"/>
    </row>
    <row r="48">
      <c r="C48" s="42" t="n"/>
      <c r="D48" s="40" t="n"/>
    </row>
    <row r="49">
      <c r="C49" s="42" t="n"/>
      <c r="D49" s="40" t="n"/>
    </row>
    <row r="50">
      <c r="C50" s="42" t="n"/>
      <c r="D50" s="40" t="n"/>
    </row>
    <row r="51">
      <c r="C51" s="42" t="n"/>
      <c r="D51" s="40" t="n"/>
    </row>
    <row r="52">
      <c r="C52" s="42" t="n"/>
      <c r="D52" s="40" t="n"/>
    </row>
    <row r="53">
      <c r="C53" s="42" t="n"/>
      <c r="D53" s="40" t="n"/>
    </row>
    <row r="54">
      <c r="C54" s="42" t="n"/>
      <c r="D54" s="40" t="n"/>
    </row>
    <row r="55">
      <c r="C55" s="42" t="n"/>
      <c r="D55" s="40" t="n"/>
    </row>
    <row r="56">
      <c r="C56" s="42" t="n"/>
      <c r="D56" s="40" t="n"/>
    </row>
    <row r="57">
      <c r="C57" s="42" t="n"/>
      <c r="D57" s="40" t="n"/>
    </row>
    <row r="58">
      <c r="C58" s="42" t="n"/>
      <c r="D58" s="40" t="n"/>
    </row>
    <row r="59">
      <c r="C59" s="42" t="n"/>
      <c r="D59" s="40" t="n"/>
    </row>
    <row r="60">
      <c r="C60" s="42" t="n"/>
      <c r="D60" s="40" t="n"/>
    </row>
    <row r="61">
      <c r="C61" s="42" t="n"/>
      <c r="D61" s="40" t="n"/>
    </row>
    <row r="62">
      <c r="C62" s="42" t="n"/>
      <c r="D62" s="40" t="n"/>
    </row>
    <row r="63">
      <c r="C63" s="42" t="n"/>
      <c r="D63" s="40" t="n"/>
    </row>
    <row r="64">
      <c r="C64" s="42" t="n"/>
      <c r="D64" s="40" t="n"/>
    </row>
    <row r="65">
      <c r="C65" s="42" t="n"/>
      <c r="D65" s="40" t="n"/>
    </row>
    <row r="66">
      <c r="C66" s="42" t="n"/>
      <c r="D66" s="40" t="n"/>
    </row>
    <row r="67">
      <c r="C67" s="42" t="n"/>
      <c r="D67" s="40" t="n"/>
    </row>
    <row r="68">
      <c r="C68" s="42" t="n"/>
      <c r="D68" s="40" t="n"/>
    </row>
    <row r="69">
      <c r="C69" s="42" t="n"/>
      <c r="D69" s="40" t="n"/>
    </row>
    <row r="70">
      <c r="C70" s="42" t="n"/>
      <c r="D70" s="40" t="n"/>
    </row>
    <row r="71">
      <c r="C71" s="42" t="n"/>
      <c r="D71" s="40" t="n"/>
    </row>
    <row r="72">
      <c r="C72" s="42" t="n"/>
      <c r="D72" s="40" t="n"/>
    </row>
    <row r="73">
      <c r="C73" s="42" t="n"/>
      <c r="D73" s="40" t="n"/>
    </row>
    <row r="74">
      <c r="C74" s="42" t="n"/>
      <c r="D74" s="40" t="n"/>
    </row>
    <row r="75">
      <c r="C75" s="42" t="n"/>
      <c r="D75" s="40" t="n"/>
    </row>
    <row r="76">
      <c r="C76" s="42" t="n"/>
      <c r="D76" s="40" t="n"/>
    </row>
    <row r="77">
      <c r="C77" s="42" t="n"/>
      <c r="D77" s="40" t="n"/>
    </row>
    <row r="78">
      <c r="C78" s="42" t="n"/>
      <c r="D78" s="40" t="n"/>
    </row>
    <row r="79">
      <c r="C79" s="42" t="n"/>
      <c r="D79" s="40" t="n"/>
    </row>
    <row r="80">
      <c r="C80" s="42" t="n"/>
      <c r="D80" s="40" t="n"/>
    </row>
    <row r="81">
      <c r="C81" s="42" t="n"/>
      <c r="D81" s="40" t="n"/>
    </row>
    <row r="82">
      <c r="C82" s="42" t="n"/>
      <c r="D82" s="40" t="n"/>
    </row>
    <row r="83">
      <c r="C83" s="42" t="n"/>
      <c r="D83" s="40" t="n"/>
    </row>
    <row r="84">
      <c r="C84" s="42" t="n"/>
      <c r="D84" s="40" t="n"/>
    </row>
    <row r="85">
      <c r="C85" s="42" t="n"/>
      <c r="D85" s="40" t="n"/>
    </row>
    <row r="86">
      <c r="C86" s="42" t="n"/>
      <c r="D86" s="40" t="n"/>
    </row>
    <row r="87">
      <c r="C87" s="42" t="n"/>
      <c r="D87" s="40" t="n"/>
    </row>
    <row r="88">
      <c r="C88" s="42" t="n"/>
      <c r="D88" s="40" t="n"/>
    </row>
    <row r="89">
      <c r="C89" s="42" t="n"/>
      <c r="D89" s="40" t="n"/>
    </row>
    <row r="90">
      <c r="C90" s="42" t="n"/>
      <c r="D90" s="40" t="n"/>
    </row>
    <row r="91">
      <c r="C91" s="42" t="n"/>
      <c r="D91" s="40" t="n"/>
    </row>
    <row r="92">
      <c r="C92" s="42" t="n"/>
      <c r="D92" s="40" t="n"/>
    </row>
    <row r="93">
      <c r="C93" s="42" t="n"/>
      <c r="D93" s="40" t="n"/>
    </row>
    <row r="94">
      <c r="C94" s="42" t="n"/>
      <c r="D94" s="40" t="n"/>
    </row>
    <row r="95">
      <c r="C95" s="42" t="n"/>
      <c r="D95" s="40" t="n"/>
    </row>
    <row r="96">
      <c r="C96" s="42" t="n"/>
      <c r="D96" s="40" t="n"/>
    </row>
    <row r="97">
      <c r="C97" s="42" t="n"/>
      <c r="D97" s="40" t="n"/>
    </row>
    <row r="98">
      <c r="C98" s="42" t="n"/>
      <c r="D98" s="40" t="n"/>
    </row>
    <row r="99">
      <c r="C99" s="42" t="n"/>
      <c r="D99" s="40" t="n"/>
    </row>
    <row r="100">
      <c r="C100" s="42" t="n"/>
      <c r="D100" s="40" t="n"/>
    </row>
    <row r="101">
      <c r="C101" s="42" t="n"/>
      <c r="D101" s="40" t="n"/>
    </row>
    <row r="102">
      <c r="C102" s="42" t="n"/>
      <c r="D102" s="40" t="n"/>
    </row>
    <row r="103">
      <c r="C103" s="42" t="n"/>
      <c r="D103" s="40" t="n"/>
    </row>
    <row r="104">
      <c r="C104" s="42" t="n"/>
      <c r="D104" s="40" t="n"/>
    </row>
    <row r="105">
      <c r="C105" s="42" t="n"/>
      <c r="D105" s="40" t="n"/>
    </row>
    <row r="106">
      <c r="C106" s="42" t="n"/>
      <c r="D106" s="40" t="n"/>
    </row>
    <row r="107">
      <c r="C107" s="42" t="n"/>
      <c r="D107" s="40" t="n"/>
    </row>
    <row r="108">
      <c r="C108" s="42" t="n"/>
      <c r="D108" s="40" t="n"/>
    </row>
    <row r="109">
      <c r="C109" s="42" t="n"/>
      <c r="D109" s="40" t="n"/>
    </row>
    <row r="110">
      <c r="C110" s="42" t="n"/>
      <c r="D110" s="40" t="n"/>
    </row>
    <row r="111">
      <c r="C111" s="42" t="n"/>
      <c r="D111" s="40" t="n"/>
    </row>
    <row r="112">
      <c r="C112" s="42" t="n"/>
      <c r="D112" s="40" t="n"/>
    </row>
    <row r="113">
      <c r="C113" s="42" t="n"/>
      <c r="D113" s="40" t="n"/>
    </row>
    <row r="114">
      <c r="C114" s="42" t="n"/>
      <c r="D114" s="40" t="n"/>
    </row>
    <row r="115">
      <c r="C115" s="42" t="n"/>
      <c r="D115" s="40" t="n"/>
    </row>
    <row r="116">
      <c r="C116" s="42" t="n"/>
      <c r="D116" s="40" t="n"/>
    </row>
    <row r="117">
      <c r="C117" s="42" t="n"/>
      <c r="D117" s="40" t="n"/>
    </row>
    <row r="118">
      <c r="C118" s="42" t="n"/>
      <c r="D118" s="40" t="n"/>
    </row>
    <row r="119">
      <c r="C119" s="42" t="n"/>
      <c r="D119" s="40" t="n"/>
    </row>
    <row r="120">
      <c r="C120" s="42" t="n"/>
      <c r="D120" s="40" t="n"/>
    </row>
    <row r="121">
      <c r="C121" s="42" t="n"/>
      <c r="D121" s="40" t="n"/>
    </row>
    <row r="122">
      <c r="C122" s="42" t="n"/>
      <c r="D122" s="40" t="n"/>
    </row>
    <row r="123">
      <c r="C123" s="42" t="n"/>
      <c r="D123" s="40" t="n"/>
    </row>
    <row r="124">
      <c r="C124" s="42" t="n"/>
      <c r="D124" s="40" t="n"/>
    </row>
    <row r="125">
      <c r="C125" s="42" t="n"/>
      <c r="D125" s="40" t="n"/>
    </row>
    <row r="126">
      <c r="C126" s="42" t="n"/>
      <c r="D126" s="40" t="n"/>
    </row>
    <row r="127">
      <c r="C127" s="42" t="n"/>
      <c r="D127" s="40" t="n"/>
    </row>
    <row r="128">
      <c r="C128" s="42" t="n"/>
      <c r="D128" s="40" t="n"/>
    </row>
    <row r="129">
      <c r="C129" s="42" t="n"/>
      <c r="D129" s="40" t="n"/>
    </row>
    <row r="130">
      <c r="C130" s="42" t="n"/>
      <c r="D130" s="40" t="n"/>
    </row>
    <row r="131">
      <c r="C131" s="42" t="n"/>
      <c r="D131" s="40" t="n"/>
    </row>
    <row r="132">
      <c r="C132" s="42" t="n"/>
      <c r="D132" s="40" t="n"/>
    </row>
    <row r="133">
      <c r="C133" s="42" t="n"/>
      <c r="D133" s="40" t="n"/>
    </row>
    <row r="134">
      <c r="C134" s="42" t="n"/>
      <c r="D134" s="40" t="n"/>
    </row>
    <row r="135">
      <c r="C135" s="42" t="n"/>
      <c r="D135" s="40" t="n"/>
    </row>
    <row r="136">
      <c r="C136" s="42" t="n"/>
      <c r="D136" s="40" t="n"/>
    </row>
    <row r="137">
      <c r="C137" s="42" t="n"/>
      <c r="D137" s="40" t="n"/>
    </row>
    <row r="138">
      <c r="C138" s="42" t="n"/>
      <c r="D138" s="40" t="n"/>
    </row>
    <row r="139">
      <c r="C139" s="42" t="n"/>
      <c r="D139" s="40" t="n"/>
    </row>
    <row r="140">
      <c r="C140" s="42" t="n"/>
      <c r="D140" s="40" t="n"/>
    </row>
    <row r="141">
      <c r="C141" s="42" t="n"/>
      <c r="D141" s="40" t="n"/>
    </row>
    <row r="142">
      <c r="C142" s="42" t="n"/>
      <c r="D142" s="40" t="n"/>
    </row>
    <row r="143">
      <c r="C143" s="42" t="n"/>
      <c r="D143" s="40" t="n"/>
    </row>
    <row r="144">
      <c r="C144" s="42" t="n"/>
      <c r="D144" s="40" t="n"/>
    </row>
    <row r="145">
      <c r="C145" s="42" t="n"/>
      <c r="D145" s="40" t="n"/>
    </row>
    <row r="146">
      <c r="C146" s="42" t="n"/>
      <c r="D146" s="40" t="n"/>
    </row>
    <row r="147">
      <c r="C147" s="42" t="n"/>
      <c r="D147" s="40" t="n"/>
    </row>
    <row r="148">
      <c r="C148" s="42" t="n"/>
      <c r="D148" s="40" t="n"/>
    </row>
    <row r="149">
      <c r="C149" s="42" t="n"/>
      <c r="D149" s="40" t="n"/>
    </row>
    <row r="150">
      <c r="C150" s="42" t="n"/>
      <c r="D150" s="40" t="n"/>
    </row>
    <row r="151">
      <c r="C151" s="42" t="n"/>
      <c r="D151" s="40" t="n"/>
    </row>
    <row r="152">
      <c r="C152" s="42" t="n"/>
      <c r="D152" s="40" t="n"/>
    </row>
    <row r="153">
      <c r="C153" s="42" t="n"/>
      <c r="D153" s="40" t="n"/>
    </row>
    <row r="154">
      <c r="C154" s="42" t="n"/>
      <c r="D154" s="40" t="n"/>
    </row>
    <row r="155">
      <c r="C155" s="42" t="n"/>
      <c r="D155" s="40" t="n"/>
    </row>
    <row r="156">
      <c r="C156" s="42" t="n"/>
      <c r="D156" s="40" t="n"/>
    </row>
    <row r="157">
      <c r="C157" s="42" t="n"/>
      <c r="D157" s="40" t="n"/>
    </row>
    <row r="158">
      <c r="C158" s="42" t="n"/>
      <c r="D158" s="40" t="n"/>
    </row>
    <row r="159">
      <c r="C159" s="42" t="n"/>
      <c r="D159" s="40" t="n"/>
    </row>
    <row r="160">
      <c r="C160" s="42" t="n"/>
      <c r="D160" s="40" t="n"/>
    </row>
    <row r="161">
      <c r="C161" s="42" t="n"/>
      <c r="D161" s="40" t="n"/>
    </row>
    <row r="162">
      <c r="C162" s="42" t="n"/>
      <c r="D162" s="40" t="n"/>
    </row>
    <row r="163">
      <c r="C163" s="42" t="n"/>
      <c r="D163" s="40" t="n"/>
    </row>
    <row r="164">
      <c r="C164" s="42" t="n"/>
      <c r="D164" s="40" t="n"/>
    </row>
    <row r="165">
      <c r="C165" s="42" t="n"/>
      <c r="D165" s="40" t="n"/>
    </row>
    <row r="166">
      <c r="C166" s="42" t="n"/>
      <c r="D166" s="40" t="n"/>
    </row>
    <row r="167">
      <c r="C167" s="42" t="n"/>
      <c r="D167" s="40" t="n"/>
    </row>
    <row r="168">
      <c r="C168" s="42" t="n"/>
      <c r="D168" s="40" t="n"/>
    </row>
    <row r="169">
      <c r="C169" s="42" t="n"/>
      <c r="D169" s="40" t="n"/>
    </row>
    <row r="170">
      <c r="C170" s="42" t="n"/>
      <c r="D170" s="40" t="n"/>
    </row>
    <row r="171">
      <c r="C171" s="42" t="n"/>
      <c r="D171" s="40" t="n"/>
    </row>
    <row r="172">
      <c r="C172" s="42" t="n"/>
      <c r="D172" s="40" t="n"/>
    </row>
    <row r="173">
      <c r="C173" s="42" t="n"/>
      <c r="D173" s="40" t="n"/>
    </row>
    <row r="174">
      <c r="C174" s="42" t="n"/>
      <c r="D174" s="40" t="n"/>
    </row>
    <row r="175">
      <c r="C175" s="42" t="n"/>
      <c r="D175" s="40" t="n"/>
    </row>
    <row r="176">
      <c r="C176" s="42" t="n"/>
      <c r="D176" s="40" t="n"/>
    </row>
    <row r="177">
      <c r="C177" s="42" t="n"/>
      <c r="D177" s="40" t="n"/>
    </row>
    <row r="178">
      <c r="C178" s="42" t="n"/>
      <c r="D178" s="40" t="n"/>
    </row>
    <row r="179">
      <c r="C179" s="42" t="n"/>
      <c r="D179" s="40" t="n"/>
    </row>
    <row r="180">
      <c r="C180" s="42" t="n"/>
      <c r="D180" s="40" t="n"/>
    </row>
    <row r="181">
      <c r="C181" s="42" t="n"/>
      <c r="D181" s="40" t="n"/>
    </row>
    <row r="182">
      <c r="C182" s="42" t="n"/>
      <c r="D182" s="40" t="n"/>
    </row>
    <row r="183">
      <c r="C183" s="42" t="n"/>
      <c r="D183" s="40" t="n"/>
    </row>
    <row r="184">
      <c r="C184" s="42" t="n"/>
      <c r="D184" s="40" t="n"/>
    </row>
    <row r="185">
      <c r="C185" s="42" t="n"/>
      <c r="D185" s="40" t="n"/>
    </row>
    <row r="186">
      <c r="C186" s="42" t="n"/>
      <c r="D186" s="40" t="n"/>
    </row>
    <row r="187">
      <c r="C187" s="42" t="n"/>
      <c r="D187" s="40" t="n"/>
    </row>
    <row r="188">
      <c r="C188" s="42" t="n"/>
      <c r="D188" s="40" t="n"/>
    </row>
    <row r="189">
      <c r="C189" s="42" t="n"/>
      <c r="D189" s="40" t="n"/>
    </row>
    <row r="190">
      <c r="C190" s="42" t="n"/>
      <c r="D190" s="40" t="n"/>
    </row>
    <row r="191">
      <c r="C191" s="42" t="n"/>
      <c r="D191" s="40" t="n"/>
    </row>
    <row r="192">
      <c r="C192" s="42" t="n"/>
      <c r="D192" s="40" t="n"/>
    </row>
    <row r="193">
      <c r="C193" s="42" t="n"/>
      <c r="D193" s="40" t="n"/>
    </row>
    <row r="194">
      <c r="C194" s="42" t="n"/>
      <c r="D194" s="40" t="n"/>
    </row>
    <row r="195">
      <c r="C195" s="42" t="n"/>
      <c r="D195" s="40" t="n"/>
    </row>
    <row r="196">
      <c r="C196" s="42" t="n"/>
      <c r="D196" s="40" t="n"/>
    </row>
    <row r="197">
      <c r="C197" s="42" t="n"/>
      <c r="D197" s="40" t="n"/>
    </row>
    <row r="198">
      <c r="C198" s="42" t="n"/>
      <c r="D198" s="40" t="n"/>
    </row>
    <row r="199">
      <c r="C199" s="42" t="n"/>
      <c r="D199" s="40" t="n"/>
    </row>
    <row r="200">
      <c r="C200" s="42" t="n"/>
      <c r="D200" s="40" t="n"/>
    </row>
    <row r="201">
      <c r="C201" s="42" t="n"/>
      <c r="D201" s="40" t="n"/>
    </row>
    <row r="202">
      <c r="C202" s="42" t="n"/>
      <c r="D202" s="40" t="n"/>
    </row>
    <row r="203">
      <c r="C203" s="42" t="n"/>
      <c r="D203" s="40" t="n"/>
    </row>
    <row r="204">
      <c r="C204" s="42" t="n"/>
      <c r="D204" s="40" t="n"/>
    </row>
    <row r="205">
      <c r="C205" s="42" t="n"/>
      <c r="D205" s="40" t="n"/>
    </row>
    <row r="206">
      <c r="C206" s="42" t="n"/>
      <c r="D206" s="40" t="n"/>
    </row>
    <row r="207">
      <c r="C207" s="42" t="n"/>
      <c r="D207" s="40" t="n"/>
    </row>
    <row r="208">
      <c r="C208" s="42" t="n"/>
      <c r="D208" s="40" t="n"/>
    </row>
    <row r="209">
      <c r="C209" s="42" t="n"/>
      <c r="D209" s="40" t="n"/>
    </row>
    <row r="210">
      <c r="C210" s="42" t="n"/>
      <c r="D210" s="40" t="n"/>
    </row>
    <row r="211">
      <c r="C211" s="42" t="n"/>
      <c r="D211" s="40" t="n"/>
    </row>
    <row r="212">
      <c r="C212" s="42" t="n"/>
      <c r="D212" s="40" t="n"/>
    </row>
    <row r="213">
      <c r="C213" s="42" t="n"/>
      <c r="D213" s="40" t="n"/>
    </row>
    <row r="214">
      <c r="C214" s="42" t="n"/>
      <c r="D214" s="40" t="n"/>
    </row>
    <row r="215">
      <c r="C215" s="42" t="n"/>
      <c r="D215" s="40" t="n"/>
    </row>
    <row r="216">
      <c r="C216" s="42" t="n"/>
      <c r="D216" s="40" t="n"/>
    </row>
    <row r="217">
      <c r="C217" s="42" t="n"/>
      <c r="D217" s="40" t="n"/>
    </row>
    <row r="218">
      <c r="C218" s="42" t="n"/>
      <c r="D218" s="40" t="n"/>
    </row>
    <row r="219">
      <c r="C219" s="42" t="n"/>
      <c r="D219" s="40" t="n"/>
    </row>
    <row r="220">
      <c r="C220" s="42" t="n"/>
      <c r="D220" s="40" t="n"/>
    </row>
    <row r="221">
      <c r="C221" s="42" t="n"/>
      <c r="D221" s="40" t="n"/>
    </row>
    <row r="222">
      <c r="C222" s="42" t="n"/>
      <c r="D222" s="40" t="n"/>
    </row>
    <row r="223">
      <c r="C223" s="42" t="n"/>
      <c r="D223" s="40" t="n"/>
    </row>
    <row r="224">
      <c r="C224" s="42" t="n"/>
      <c r="D224" s="40" t="n"/>
    </row>
    <row r="225">
      <c r="C225" s="42" t="n"/>
      <c r="D225" s="40" t="n"/>
    </row>
    <row r="226">
      <c r="C226" s="42" t="n"/>
      <c r="D226" s="40" t="n"/>
    </row>
    <row r="227">
      <c r="C227" s="42" t="n"/>
      <c r="D227" s="40" t="n"/>
    </row>
    <row r="228">
      <c r="C228" s="42" t="n"/>
      <c r="D228" s="40" t="n"/>
    </row>
    <row r="229">
      <c r="C229" s="42" t="n"/>
      <c r="D229" s="40" t="n"/>
    </row>
    <row r="230">
      <c r="C230" s="42" t="n"/>
      <c r="D230" s="40" t="n"/>
    </row>
    <row r="231">
      <c r="C231" s="42" t="n"/>
      <c r="D231" s="40" t="n"/>
    </row>
    <row r="232">
      <c r="C232" s="42" t="n"/>
      <c r="D232" s="40" t="n"/>
    </row>
    <row r="233">
      <c r="C233" s="42" t="n"/>
      <c r="D233" s="40" t="n"/>
    </row>
    <row r="234">
      <c r="C234" s="42" t="n"/>
      <c r="D234" s="40" t="n"/>
    </row>
    <row r="235">
      <c r="C235" s="42" t="n"/>
      <c r="D235" s="40" t="n"/>
    </row>
    <row r="236">
      <c r="C236" s="42" t="n"/>
      <c r="D236" s="40" t="n"/>
    </row>
    <row r="237">
      <c r="C237" s="42" t="n"/>
      <c r="D237" s="40" t="n"/>
    </row>
    <row r="238">
      <c r="C238" s="42" t="n"/>
      <c r="D238" s="40" t="n"/>
    </row>
    <row r="239">
      <c r="C239" s="42" t="n"/>
      <c r="D239" s="40" t="n"/>
    </row>
    <row r="240">
      <c r="C240" s="42" t="n"/>
      <c r="D240" s="40" t="n"/>
    </row>
    <row r="241">
      <c r="C241" s="42" t="n"/>
      <c r="D241" s="40" t="n"/>
    </row>
    <row r="242">
      <c r="C242" s="42" t="n"/>
      <c r="D242" s="40" t="n"/>
    </row>
    <row r="243">
      <c r="C243" s="42" t="n"/>
      <c r="D243" s="40" t="n"/>
    </row>
    <row r="244">
      <c r="C244" s="42" t="n"/>
      <c r="D244" s="40" t="n"/>
    </row>
    <row r="245">
      <c r="C245" s="42" t="n"/>
      <c r="D245" s="40" t="n"/>
    </row>
    <row r="246">
      <c r="C246" s="42" t="n"/>
      <c r="D246" s="40" t="n"/>
    </row>
    <row r="247">
      <c r="C247" s="42" t="n"/>
      <c r="D247" s="40" t="n"/>
    </row>
    <row r="248">
      <c r="C248" s="42" t="n"/>
      <c r="D248" s="40" t="n"/>
    </row>
    <row r="249">
      <c r="C249" s="42" t="n"/>
      <c r="D249" s="40" t="n"/>
    </row>
    <row r="250">
      <c r="C250" s="42" t="n"/>
      <c r="D250" s="40" t="n"/>
    </row>
    <row r="251">
      <c r="C251" s="42" t="n"/>
      <c r="D251" s="40" t="n"/>
    </row>
    <row r="252">
      <c r="C252" s="42" t="n"/>
      <c r="D252" s="40" t="n"/>
    </row>
    <row r="253">
      <c r="C253" s="42" t="n"/>
      <c r="D253" s="40" t="n"/>
    </row>
    <row r="254">
      <c r="C254" s="42" t="n"/>
      <c r="D254" s="40" t="n"/>
    </row>
    <row r="255">
      <c r="C255" s="42" t="n"/>
      <c r="D255" s="40" t="n"/>
    </row>
    <row r="256">
      <c r="C256" s="42" t="n"/>
      <c r="D256" s="40" t="n"/>
    </row>
    <row r="257">
      <c r="C257" s="42" t="n"/>
      <c r="D257" s="40" t="n"/>
    </row>
    <row r="258">
      <c r="C258" s="42" t="n"/>
      <c r="D258" s="40" t="n"/>
    </row>
    <row r="259">
      <c r="C259" s="42" t="n"/>
      <c r="D259" s="40" t="n"/>
    </row>
    <row r="260">
      <c r="C260" s="42" t="n"/>
      <c r="D260" s="40" t="n"/>
    </row>
    <row r="261">
      <c r="C261" s="42" t="n"/>
      <c r="D261" s="40" t="n"/>
    </row>
    <row r="262">
      <c r="C262" s="42" t="n"/>
      <c r="D262" s="40" t="n"/>
    </row>
    <row r="263">
      <c r="C263" s="42" t="n"/>
      <c r="D263" s="40" t="n"/>
    </row>
    <row r="264">
      <c r="C264" s="42" t="n"/>
      <c r="D264" s="40" t="n"/>
    </row>
    <row r="265">
      <c r="C265" s="42" t="n"/>
      <c r="D265" s="40" t="n"/>
    </row>
    <row r="266">
      <c r="C266" s="42" t="n"/>
      <c r="D266" s="40" t="n"/>
    </row>
    <row r="267">
      <c r="C267" s="42" t="n"/>
      <c r="D267" s="40" t="n"/>
    </row>
    <row r="268">
      <c r="C268" s="42" t="n"/>
      <c r="D268" s="40" t="n"/>
    </row>
    <row r="269">
      <c r="C269" s="42" t="n"/>
      <c r="D269" s="40" t="n"/>
    </row>
    <row r="270">
      <c r="C270" s="42" t="n"/>
      <c r="D270" s="40" t="n"/>
    </row>
    <row r="271">
      <c r="C271" s="42" t="n"/>
      <c r="D271" s="40" t="n"/>
    </row>
    <row r="272">
      <c r="C272" s="42" t="n"/>
      <c r="D272" s="40" t="n"/>
    </row>
    <row r="273">
      <c r="C273" s="42" t="n"/>
      <c r="D273" s="40" t="n"/>
    </row>
    <row r="274">
      <c r="C274" s="42" t="n"/>
      <c r="D274" s="40" t="n"/>
    </row>
    <row r="275">
      <c r="C275" s="42" t="n"/>
      <c r="D275" s="40" t="n"/>
    </row>
    <row r="276">
      <c r="C276" s="42" t="n"/>
      <c r="D276" s="40" t="n"/>
    </row>
    <row r="277">
      <c r="C277" s="42" t="n"/>
      <c r="D277" s="40" t="n"/>
    </row>
    <row r="278">
      <c r="C278" s="42" t="n"/>
      <c r="D278" s="40" t="n"/>
    </row>
    <row r="279">
      <c r="C279" s="42" t="n"/>
      <c r="D279" s="40" t="n"/>
    </row>
    <row r="280">
      <c r="C280" s="42" t="n"/>
      <c r="D280" s="40" t="n"/>
    </row>
    <row r="281">
      <c r="C281" s="42" t="n"/>
      <c r="D281" s="40" t="n"/>
    </row>
    <row r="282">
      <c r="C282" s="42" t="n"/>
      <c r="D282" s="40" t="n"/>
    </row>
    <row r="283">
      <c r="C283" s="42" t="n"/>
      <c r="D283" s="40" t="n"/>
    </row>
    <row r="284">
      <c r="C284" s="42" t="n"/>
      <c r="D284" s="40" t="n"/>
    </row>
    <row r="285">
      <c r="C285" s="42" t="n"/>
      <c r="D285" s="40" t="n"/>
    </row>
    <row r="286">
      <c r="C286" s="42" t="n"/>
      <c r="D286" s="40" t="n"/>
    </row>
    <row r="287">
      <c r="C287" s="42" t="n"/>
      <c r="D287" s="40" t="n"/>
    </row>
    <row r="288">
      <c r="C288" s="42" t="n"/>
      <c r="D288" s="40" t="n"/>
    </row>
    <row r="289">
      <c r="C289" s="42" t="n"/>
      <c r="D289" s="40" t="n"/>
    </row>
    <row r="290">
      <c r="C290" s="42" t="n"/>
      <c r="D290" s="40" t="n"/>
    </row>
    <row r="291">
      <c r="C291" s="42" t="n"/>
      <c r="D291" s="40" t="n"/>
    </row>
    <row r="292">
      <c r="C292" s="42" t="n"/>
      <c r="D292" s="40" t="n"/>
    </row>
    <row r="293">
      <c r="C293" s="42" t="n"/>
      <c r="D293" s="40" t="n"/>
    </row>
    <row r="294">
      <c r="C294" s="42" t="n"/>
      <c r="D294" s="40" t="n"/>
    </row>
    <row r="295">
      <c r="C295" s="42" t="n"/>
      <c r="D295" s="40" t="n"/>
    </row>
    <row r="296">
      <c r="C296" s="42" t="n"/>
      <c r="D296" s="40" t="n"/>
    </row>
    <row r="297">
      <c r="C297" s="42" t="n"/>
      <c r="D297" s="40" t="n"/>
    </row>
    <row r="298">
      <c r="C298" s="42" t="n"/>
      <c r="D298" s="40" t="n"/>
    </row>
    <row r="299">
      <c r="C299" s="42" t="n"/>
      <c r="D299" s="40" t="n"/>
    </row>
    <row r="300">
      <c r="C300" s="42" t="n"/>
      <c r="D300" s="40" t="n"/>
    </row>
    <row r="301">
      <c r="C301" s="42" t="n"/>
      <c r="D301" s="40" t="n"/>
    </row>
    <row r="302">
      <c r="C302" s="42" t="n"/>
      <c r="D302" s="40" t="n"/>
    </row>
    <row r="303">
      <c r="C303" s="42" t="n"/>
      <c r="D303" s="40" t="n"/>
    </row>
    <row r="304">
      <c r="C304" s="42" t="n"/>
      <c r="D304" s="40" t="n"/>
    </row>
    <row r="305">
      <c r="C305" s="42" t="n"/>
      <c r="D305" s="40" t="n"/>
    </row>
    <row r="306">
      <c r="C306" s="42" t="n"/>
      <c r="D306" s="40" t="n"/>
    </row>
    <row r="307">
      <c r="C307" s="42" t="n"/>
      <c r="D307" s="40" t="n"/>
    </row>
    <row r="308">
      <c r="C308" s="42" t="n"/>
      <c r="D308" s="40" t="n"/>
    </row>
    <row r="309">
      <c r="C309" s="42" t="n"/>
      <c r="D309" s="40" t="n"/>
    </row>
    <row r="310">
      <c r="C310" s="42" t="n"/>
      <c r="D310" s="40" t="n"/>
    </row>
    <row r="311">
      <c r="C311" s="42" t="n"/>
      <c r="D311" s="40" t="n"/>
    </row>
    <row r="312">
      <c r="C312" s="42" t="n"/>
      <c r="D312" s="40" t="n"/>
    </row>
    <row r="313">
      <c r="C313" s="42" t="n"/>
      <c r="D313" s="40" t="n"/>
    </row>
    <row r="314">
      <c r="C314" s="42" t="n"/>
      <c r="D314" s="40" t="n"/>
    </row>
    <row r="315">
      <c r="C315" s="42" t="n"/>
      <c r="D315" s="40" t="n"/>
    </row>
    <row r="316">
      <c r="C316" s="42" t="n"/>
      <c r="D316" s="40" t="n"/>
    </row>
    <row r="317">
      <c r="C317" s="42" t="n"/>
      <c r="D317" s="40" t="n"/>
    </row>
    <row r="318">
      <c r="C318" s="42" t="n"/>
      <c r="D318" s="40" t="n"/>
    </row>
    <row r="319">
      <c r="C319" s="42" t="n"/>
      <c r="D319" s="40" t="n"/>
    </row>
    <row r="320">
      <c r="C320" s="42" t="n"/>
      <c r="D320" s="40" t="n"/>
    </row>
    <row r="321">
      <c r="C321" s="42" t="n"/>
      <c r="D321" s="40" t="n"/>
    </row>
    <row r="322">
      <c r="C322" s="42" t="n"/>
      <c r="D322" s="40" t="n"/>
    </row>
    <row r="323">
      <c r="C323" s="42" t="n"/>
      <c r="D323" s="40" t="n"/>
    </row>
    <row r="324">
      <c r="C324" s="42" t="n"/>
      <c r="D324" s="40" t="n"/>
    </row>
    <row r="325">
      <c r="C325" s="42" t="n"/>
      <c r="D325" s="40" t="n"/>
    </row>
    <row r="326">
      <c r="C326" s="42" t="n"/>
      <c r="D326" s="40" t="n"/>
    </row>
    <row r="327">
      <c r="C327" s="42" t="n"/>
      <c r="D327" s="40" t="n"/>
    </row>
    <row r="328">
      <c r="C328" s="42" t="n"/>
      <c r="D328" s="40" t="n"/>
    </row>
    <row r="329">
      <c r="C329" s="42" t="n"/>
      <c r="D329" s="40" t="n"/>
    </row>
    <row r="330">
      <c r="C330" s="42" t="n"/>
      <c r="D330" s="40" t="n"/>
    </row>
    <row r="331">
      <c r="C331" s="42" t="n"/>
      <c r="D331" s="40" t="n"/>
    </row>
    <row r="332">
      <c r="C332" s="42" t="n"/>
      <c r="D332" s="40" t="n"/>
    </row>
    <row r="333">
      <c r="C333" s="42" t="n"/>
      <c r="D333" s="40" t="n"/>
    </row>
    <row r="334">
      <c r="C334" s="42" t="n"/>
      <c r="D334" s="40" t="n"/>
    </row>
    <row r="335">
      <c r="C335" s="42" t="n"/>
      <c r="D335" s="40" t="n"/>
    </row>
    <row r="336">
      <c r="C336" s="42" t="n"/>
      <c r="D336" s="40" t="n"/>
    </row>
    <row r="337">
      <c r="C337" s="42" t="n"/>
      <c r="D337" s="40" t="n"/>
    </row>
    <row r="338">
      <c r="C338" s="42" t="n"/>
      <c r="D338" s="40" t="n"/>
    </row>
    <row r="339">
      <c r="C339" s="42" t="n"/>
      <c r="D339" s="40" t="n"/>
    </row>
    <row r="340">
      <c r="C340" s="42" t="n"/>
      <c r="D340" s="40" t="n"/>
    </row>
    <row r="341">
      <c r="C341" s="42" t="n"/>
      <c r="D341" s="40" t="n"/>
    </row>
    <row r="342">
      <c r="C342" s="42" t="n"/>
      <c r="D342" s="40" t="n"/>
    </row>
    <row r="343">
      <c r="C343" s="42" t="n"/>
      <c r="D343" s="40" t="n"/>
    </row>
    <row r="344">
      <c r="C344" s="42" t="n"/>
      <c r="D344" s="40" t="n"/>
    </row>
    <row r="345">
      <c r="C345" s="42" t="n"/>
      <c r="D345" s="40" t="n"/>
    </row>
    <row r="346">
      <c r="C346" s="42" t="n"/>
      <c r="D346" s="40" t="n"/>
    </row>
    <row r="347">
      <c r="C347" s="42" t="n"/>
      <c r="D347" s="40" t="n"/>
    </row>
    <row r="348">
      <c r="C348" s="42" t="n"/>
      <c r="D348" s="40" t="n"/>
    </row>
    <row r="349">
      <c r="C349" s="42" t="n"/>
      <c r="D349" s="40" t="n"/>
    </row>
    <row r="350">
      <c r="C350" s="42" t="n"/>
      <c r="D350" s="40" t="n"/>
    </row>
    <row r="351">
      <c r="C351" s="42" t="n"/>
      <c r="D351" s="40" t="n"/>
    </row>
    <row r="352">
      <c r="C352" s="42" t="n"/>
      <c r="D352" s="40" t="n"/>
    </row>
    <row r="353">
      <c r="C353" s="42" t="n"/>
      <c r="D353" s="40" t="n"/>
    </row>
    <row r="354">
      <c r="C354" s="42" t="n"/>
      <c r="D354" s="40" t="n"/>
    </row>
    <row r="355">
      <c r="C355" s="42" t="n"/>
      <c r="D355" s="40" t="n"/>
    </row>
    <row r="356">
      <c r="C356" s="42" t="n"/>
      <c r="D356" s="40" t="n"/>
    </row>
    <row r="357">
      <c r="C357" s="42" t="n"/>
      <c r="D357" s="40" t="n"/>
    </row>
    <row r="358">
      <c r="C358" s="42" t="n"/>
      <c r="D358" s="40" t="n"/>
    </row>
    <row r="359">
      <c r="C359" s="42" t="n"/>
      <c r="D359" s="40" t="n"/>
    </row>
    <row r="360">
      <c r="C360" s="42" t="n"/>
      <c r="D360" s="40" t="n"/>
    </row>
    <row r="361">
      <c r="C361" s="42" t="n"/>
      <c r="D361" s="40" t="n"/>
    </row>
    <row r="362">
      <c r="C362" s="42" t="n"/>
      <c r="D362" s="40" t="n"/>
    </row>
    <row r="363">
      <c r="C363" s="42" t="n"/>
      <c r="D363" s="40" t="n"/>
    </row>
    <row r="364">
      <c r="C364" s="42" t="n"/>
      <c r="D364" s="40" t="n"/>
    </row>
    <row r="365">
      <c r="C365" s="42" t="n"/>
      <c r="D365" s="40" t="n"/>
    </row>
    <row r="366">
      <c r="C366" s="42" t="n"/>
      <c r="D366" s="40" t="n"/>
    </row>
    <row r="367">
      <c r="C367" s="42" t="n"/>
      <c r="D367" s="40" t="n"/>
    </row>
    <row r="368">
      <c r="C368" s="42" t="n"/>
      <c r="D368" s="40" t="n"/>
    </row>
    <row r="369">
      <c r="C369" s="42" t="n"/>
      <c r="D369" s="40" t="n"/>
    </row>
    <row r="370">
      <c r="C370" s="42" t="n"/>
      <c r="D370" s="40" t="n"/>
    </row>
    <row r="371">
      <c r="C371" s="42" t="n"/>
      <c r="D371" s="40" t="n"/>
    </row>
    <row r="372">
      <c r="C372" s="42" t="n"/>
      <c r="D372" s="40" t="n"/>
    </row>
    <row r="373">
      <c r="C373" s="42" t="n"/>
      <c r="D373" s="40" t="n"/>
    </row>
    <row r="374">
      <c r="C374" s="42" t="n"/>
      <c r="D374" s="40" t="n"/>
    </row>
    <row r="375">
      <c r="C375" s="42" t="n"/>
      <c r="D375" s="40" t="n"/>
    </row>
    <row r="376">
      <c r="C376" s="42" t="n"/>
      <c r="D376" s="40" t="n"/>
    </row>
    <row r="377">
      <c r="C377" s="42" t="n"/>
      <c r="D377" s="40" t="n"/>
    </row>
    <row r="378">
      <c r="C378" s="42" t="n"/>
      <c r="D378" s="40" t="n"/>
    </row>
    <row r="379">
      <c r="C379" s="42" t="n"/>
      <c r="D379" s="40" t="n"/>
    </row>
    <row r="380">
      <c r="C380" s="42" t="n"/>
      <c r="D380" s="40" t="n"/>
    </row>
    <row r="381">
      <c r="C381" s="42" t="n"/>
      <c r="D381" s="40" t="n"/>
    </row>
    <row r="382">
      <c r="C382" s="42" t="n"/>
      <c r="D382" s="40" t="n"/>
    </row>
    <row r="383">
      <c r="C383" s="42" t="n"/>
      <c r="D383" s="40" t="n"/>
    </row>
    <row r="384">
      <c r="C384" s="42" t="n"/>
      <c r="D384" s="40" t="n"/>
    </row>
    <row r="385">
      <c r="C385" s="42" t="n"/>
      <c r="D385" s="40" t="n"/>
    </row>
    <row r="386">
      <c r="C386" s="42" t="n"/>
      <c r="D386" s="40" t="n"/>
    </row>
    <row r="387">
      <c r="C387" s="42" t="n"/>
      <c r="D387" s="40" t="n"/>
    </row>
    <row r="388">
      <c r="C388" s="42" t="n"/>
      <c r="D388" s="40" t="n"/>
    </row>
    <row r="389">
      <c r="C389" s="42" t="n"/>
      <c r="D389" s="40" t="n"/>
    </row>
    <row r="390">
      <c r="C390" s="42" t="n"/>
      <c r="D390" s="40" t="n"/>
    </row>
    <row r="391">
      <c r="C391" s="42" t="n"/>
      <c r="D391" s="40" t="n"/>
    </row>
    <row r="392">
      <c r="C392" s="42" t="n"/>
      <c r="D392" s="40" t="n"/>
    </row>
    <row r="393">
      <c r="C393" s="42" t="n"/>
      <c r="D393" s="40" t="n"/>
    </row>
    <row r="394">
      <c r="C394" s="42" t="n"/>
      <c r="D394" s="40" t="n"/>
    </row>
    <row r="395">
      <c r="C395" s="42" t="n"/>
      <c r="D395" s="40" t="n"/>
    </row>
    <row r="396">
      <c r="C396" s="42" t="n"/>
      <c r="D396" s="40" t="n"/>
    </row>
    <row r="397">
      <c r="C397" s="42" t="n"/>
      <c r="D397" s="40" t="n"/>
    </row>
    <row r="398">
      <c r="C398" s="42" t="n"/>
      <c r="D398" s="40" t="n"/>
    </row>
    <row r="399">
      <c r="C399" s="42" t="n"/>
      <c r="D399" s="40" t="n"/>
    </row>
    <row r="400">
      <c r="C400" s="42" t="n"/>
      <c r="D400" s="40" t="n"/>
    </row>
  </sheetData>
  <mergeCells count="2">
    <mergeCell ref="A1:D1"/>
    <mergeCell ref="F1:G1"/>
  </mergeCells>
  <pageMargins bottom="0.75" footer="0.3" header="0.3" left="0.7" right="0.7" top="0.75"/>
  <pageSetup orientation="portrait"/>
  <drawing r:id="rId1"/>
  <tableParts count="2">
    <tablePart r:id="rId2"/>
    <tablePart r:id="rId3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4">
    <tabColor rgb="FFFFFF00"/>
    <outlinePr summaryBelow="1" summaryRight="1"/>
    <pageSetUpPr/>
  </sheetPr>
  <dimension ref="A1:E21"/>
  <sheetViews>
    <sheetView workbookViewId="0">
      <selection activeCell="C8" sqref="C8"/>
    </sheetView>
  </sheetViews>
  <sheetFormatPr baseColWidth="8" defaultRowHeight="15"/>
  <cols>
    <col customWidth="1" max="1" min="1" style="70" width="26.7109375"/>
    <col customWidth="1" max="5" min="2" style="70" width="20"/>
  </cols>
  <sheetData>
    <row customHeight="1" ht="45" r="1" s="70">
      <c r="A1" s="81" t="inlineStr">
        <is>
          <t>Center of Information technology and Scientific Computing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>
        <v>10</v>
      </c>
      <c r="C3" s="28">
        <f>B19*(B3*0.001)</f>
        <v/>
      </c>
      <c r="D3" s="28">
        <f>C3-E3</f>
        <v/>
      </c>
      <c r="E3" s="29">
        <f>VLOOKUP(6111,ITSCReport!F3:G13,2,FALSE)</f>
        <v/>
      </c>
    </row>
    <row r="4">
      <c r="A4" s="17" t="n">
        <v>6113</v>
      </c>
      <c r="B4" s="84" t="n">
        <v>10</v>
      </c>
      <c r="C4" s="28">
        <f>B19*(B4*0.001)</f>
        <v/>
      </c>
      <c r="D4" s="28">
        <f>C4-E4</f>
        <v/>
      </c>
      <c r="E4" s="29">
        <f>VLOOKUP(6113,ITSCReport!F3:G13,2,FALSE)</f>
        <v/>
      </c>
    </row>
    <row r="5">
      <c r="A5" s="17" t="n">
        <v>6121</v>
      </c>
      <c r="B5" s="84" t="n">
        <v>10</v>
      </c>
      <c r="C5" s="28">
        <f>B19*(B5*0.001)</f>
        <v/>
      </c>
      <c r="D5" s="28">
        <f>C5-E5</f>
        <v/>
      </c>
      <c r="E5" s="29">
        <f>VLOOKUP(6121,ITSCReport!F3:G13,2,FALSE)</f>
        <v/>
      </c>
    </row>
    <row r="6">
      <c r="A6" s="17" t="n">
        <v>6211</v>
      </c>
      <c r="B6" s="84" t="n">
        <v>10</v>
      </c>
      <c r="C6" s="28">
        <f>B19*(B6*0.001)</f>
        <v/>
      </c>
      <c r="D6" s="28">
        <f>C6-E6</f>
        <v/>
      </c>
      <c r="E6" s="29">
        <f>VLOOKUP(6211,ITSCReport!F3:G13,2,FALSE)</f>
        <v/>
      </c>
    </row>
    <row r="7">
      <c r="A7" s="17" t="n">
        <v>6212</v>
      </c>
      <c r="B7" s="84" t="n">
        <v>10</v>
      </c>
      <c r="C7" s="28">
        <f>B19*(B7*0.001)</f>
        <v/>
      </c>
      <c r="D7" s="28">
        <f>C7-E7</f>
        <v/>
      </c>
      <c r="E7" s="29">
        <f>VLOOKUP(6212,ITSCReport!F3:G13,2,FALSE)</f>
        <v/>
      </c>
    </row>
    <row r="8">
      <c r="A8" s="17" t="n">
        <v>6218</v>
      </c>
      <c r="B8" s="84" t="n">
        <v>10</v>
      </c>
      <c r="C8" s="28">
        <f>B19*(B8*0.001)</f>
        <v/>
      </c>
      <c r="D8" s="28">
        <f>C8-E8</f>
        <v/>
      </c>
      <c r="E8" s="29">
        <f>VLOOKUP(6218,ITSCReport!F3:G13,2,FALSE)</f>
        <v/>
      </c>
    </row>
    <row r="9">
      <c r="A9" s="17" t="n">
        <v>6233</v>
      </c>
      <c r="B9" s="84" t="n">
        <v>10</v>
      </c>
      <c r="C9" s="28">
        <f>B19*(B9*0.001)</f>
        <v/>
      </c>
      <c r="D9" s="28">
        <f>C9-E9</f>
        <v/>
      </c>
      <c r="E9" s="29">
        <f>VLOOKUP(6233,ITSCReport!F3:G13,2,FALSE)</f>
        <v/>
      </c>
    </row>
    <row r="10">
      <c r="A10" s="17" t="n">
        <v>6240</v>
      </c>
      <c r="B10" s="84" t="n">
        <v>10</v>
      </c>
      <c r="C10" s="28">
        <f>B19*(B10*0.001)</f>
        <v/>
      </c>
      <c r="D10" s="28">
        <f>C10-E10</f>
        <v/>
      </c>
      <c r="E10" s="29">
        <f>VLOOKUP(6240,ITSCReport!F3:G13,2,FALSE)</f>
        <v/>
      </c>
    </row>
    <row r="11">
      <c r="A11" s="17" t="n">
        <v>6256</v>
      </c>
      <c r="B11" s="84" t="n">
        <v>10</v>
      </c>
      <c r="C11" s="28">
        <f>B19*(B11*0.001)</f>
        <v/>
      </c>
      <c r="D11" s="28">
        <f>C11-E11</f>
        <v/>
      </c>
      <c r="E11" s="29">
        <f>VLOOKUP(6256,ITSCReport!F3:G13,2,FALSE)</f>
        <v/>
      </c>
    </row>
    <row customHeight="1" ht="15" r="12" s="70">
      <c r="A12" s="21" t="n">
        <v>6271</v>
      </c>
      <c r="B12" s="13" t="n">
        <v>10</v>
      </c>
      <c r="C12" s="30">
        <f>B19*(B12*0.001)</f>
        <v/>
      </c>
      <c r="D12" s="30">
        <f>C12-E12</f>
        <v/>
      </c>
      <c r="E12" s="31">
        <f>VLOOKUP(6271,ITSCReport!F3:G13,2,FALSE)</f>
        <v/>
      </c>
    </row>
    <row customHeight="1" ht="18.75" r="15" s="70">
      <c r="A15" s="73" t="inlineStr">
        <is>
          <t>ITSC Budget status</t>
        </is>
      </c>
      <c r="B15" s="74" t="n"/>
    </row>
    <row r="16">
      <c r="A16" s="84" t="inlineStr">
        <is>
          <t>Annual Budget</t>
        </is>
      </c>
      <c r="B16" s="28">
        <f>VLOOKUP("ITSC",AAiTFinance!A3:H8,2,FALSE)</f>
        <v/>
      </c>
    </row>
    <row r="17">
      <c r="A17" s="84" t="inlineStr">
        <is>
          <t>Budget Transfer</t>
        </is>
      </c>
      <c r="B17" s="28" t="n">
        <v>5000</v>
      </c>
    </row>
    <row r="18">
      <c r="A18" s="84" t="inlineStr">
        <is>
          <t>Reasons for Budget Transfer</t>
        </is>
      </c>
      <c r="B18" s="28" t="inlineStr">
        <is>
          <t xml:space="preserve">Salaries
</t>
        </is>
      </c>
    </row>
    <row r="19">
      <c r="A19" s="84" t="inlineStr">
        <is>
          <t>Adjusted Budget</t>
        </is>
      </c>
      <c r="B19" s="28">
        <f>VLOOKUP("ITSC",AAiTFinance!A3:F8,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14">
    <tabColor rgb="FFFFFF00"/>
    <outlinePr summaryBelow="1" summaryRight="1"/>
    <pageSetUpPr/>
  </sheetPr>
  <dimension ref="A1:I498"/>
  <sheetViews>
    <sheetView workbookViewId="0" zoomScaleNormal="100">
      <selection activeCell="D10" sqref="D10"/>
    </sheetView>
  </sheetViews>
  <sheetFormatPr baseColWidth="8" defaultRowHeight="15"/>
  <cols>
    <col customWidth="1" max="1" min="1" style="70" width="17.85546875"/>
    <col customWidth="1" max="2" min="2" style="70" width="18.42578125"/>
    <col customWidth="1" max="3" min="3" style="70" width="27.140625"/>
    <col customWidth="1" max="4" min="4" style="70" width="21"/>
    <col customWidth="1" max="5" min="5" style="70" width="5.42578125"/>
    <col customWidth="1" max="6" min="6" style="70" width="19.140625"/>
    <col customWidth="1" max="7" min="7" style="70" width="22.42578125"/>
    <col bestFit="1" customWidth="1" max="9" min="9" style="70" width="18.85546875"/>
    <col bestFit="1" customWidth="1" max="10" min="10" style="70" width="18.28515625"/>
  </cols>
  <sheetData>
    <row customHeight="1" ht="54.75" r="1" s="70">
      <c r="A1" s="82" t="inlineStr">
        <is>
          <t>Budget Report of ITSC</t>
        </is>
      </c>
      <c r="F1" s="80" t="inlineStr">
        <is>
          <t>Summarized format of the report ITSC</t>
        </is>
      </c>
    </row>
    <row customHeight="1" ht="22.5" r="2" s="70">
      <c r="A2" t="inlineStr">
        <is>
          <t>Date</t>
        </is>
      </c>
      <c r="B2" t="inlineStr">
        <is>
          <t>Budget Code</t>
        </is>
      </c>
      <c r="C2" s="9" t="inlineStr">
        <is>
          <t>Reason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customHeight="1" ht="23.25" r="3" s="70">
      <c r="A3" s="60" t="inlineStr">
        <is>
          <t>2019-07-18 15:12:22</t>
        </is>
      </c>
      <c r="B3" s="60" t="n">
        <v>6212</v>
      </c>
      <c r="C3" s="61" t="inlineStr">
        <is>
          <t xml:space="preserve">Books
</t>
        </is>
      </c>
      <c r="D3" s="60" t="n">
        <v>40</v>
      </c>
      <c r="F3" s="6" t="n">
        <v>6111</v>
      </c>
      <c r="G3" s="40">
        <f>SUMIF(Table4[Budget Code],"=6111", Table4[Withdrawal])</f>
        <v/>
      </c>
      <c r="I3" s="2" t="n"/>
    </row>
    <row customHeight="1" ht="22.5" r="4" s="70">
      <c r="A4" s="60" t="inlineStr">
        <is>
          <t>2019-07-20 10:12:31</t>
        </is>
      </c>
      <c r="B4" s="60" t="n">
        <v>6121</v>
      </c>
      <c r="C4" s="61" t="inlineStr">
        <is>
          <t xml:space="preserve">Foods
</t>
        </is>
      </c>
      <c r="D4" s="60" t="n">
        <v>20</v>
      </c>
      <c r="F4" s="7" t="n">
        <v>6113</v>
      </c>
      <c r="G4" s="40">
        <f>SUMIF(Table4[Budget Code],"=6113", Table4[Withdrawal])</f>
        <v/>
      </c>
      <c r="I4" s="2" t="n"/>
    </row>
    <row customHeight="1" ht="15" r="5" s="70">
      <c r="A5" s="60" t="n"/>
      <c r="B5" s="60" t="n"/>
      <c r="C5" s="61" t="inlineStr">
        <is>
          <t xml:space="preserve">
</t>
        </is>
      </c>
      <c r="D5" s="60" t="n"/>
      <c r="F5" s="7" t="n">
        <v>6121</v>
      </c>
      <c r="G5" s="40">
        <f>SUMIF(Table4[Budget Code],"=6121", Table4[Withdrawal])</f>
        <v/>
      </c>
      <c r="I5" s="2" t="n"/>
    </row>
    <row customHeight="1" ht="15" r="6" s="70">
      <c r="A6" s="60" t="n"/>
      <c r="B6" s="60" t="n"/>
      <c r="C6" s="61" t="n"/>
      <c r="D6" s="60" t="n"/>
      <c r="F6" s="7" t="n">
        <v>6211</v>
      </c>
      <c r="G6" s="40">
        <f>SUMIF(Table4[Budget Code],"=6211", Table4[Withdrawal])</f>
        <v/>
      </c>
      <c r="I6" s="2" t="n"/>
    </row>
    <row customHeight="1" ht="30" r="7" s="70">
      <c r="A7" s="60" t="n"/>
      <c r="B7" s="60" t="n"/>
      <c r="C7" s="61" t="inlineStr">
        <is>
          <t xml:space="preserve">
</t>
        </is>
      </c>
      <c r="D7" s="60" t="n"/>
      <c r="F7" s="7" t="n">
        <v>6212</v>
      </c>
      <c r="G7" s="40">
        <f>SUMIF(Table4[Budget Code],"=6212", Table4[Withdrawal])</f>
        <v/>
      </c>
      <c r="I7" s="2" t="n"/>
    </row>
    <row r="8">
      <c r="A8" s="60" t="n"/>
      <c r="B8" s="60" t="n"/>
      <c r="C8" s="61" t="n"/>
      <c r="D8" s="60" t="n"/>
      <c r="F8" s="7" t="n">
        <v>6218</v>
      </c>
      <c r="G8" s="40">
        <f>SUMIF(Table4[Budget Code],"=6218", Table4[Withdrawal])</f>
        <v/>
      </c>
      <c r="I8" s="2" t="n"/>
    </row>
    <row r="9">
      <c r="A9" s="60" t="n"/>
      <c r="B9" s="60" t="n"/>
      <c r="C9" s="61" t="n"/>
      <c r="D9" s="60" t="n"/>
      <c r="F9" s="7" t="n">
        <v>6233</v>
      </c>
      <c r="G9" s="40">
        <f>SUMIF(Table4[Budget Code],"=6233", Table4[Withdrawal])</f>
        <v/>
      </c>
      <c r="I9" s="2" t="n"/>
    </row>
    <row r="10">
      <c r="A10" s="60" t="n"/>
      <c r="B10" s="60" t="n"/>
      <c r="C10" s="61" t="n"/>
      <c r="D10" s="60" t="n"/>
      <c r="F10" s="7" t="n">
        <v>6240</v>
      </c>
      <c r="G10" s="40">
        <f>SUMIF(Table4[Budget Code],"=6240", Table4[Withdrawal])</f>
        <v/>
      </c>
      <c r="I10" s="2" t="n"/>
    </row>
    <row r="11">
      <c r="A11" s="60" t="n"/>
      <c r="B11" s="60" t="n"/>
      <c r="C11" s="61" t="n"/>
      <c r="D11" s="60" t="n"/>
      <c r="F11" s="7" t="n">
        <v>6256</v>
      </c>
      <c r="G11" s="40">
        <f>SUMIF(Table4[Budget Code],"=6256", Table4[Withdrawal])</f>
        <v/>
      </c>
      <c r="I11" s="2" t="n"/>
    </row>
    <row r="12">
      <c r="A12" s="60" t="n"/>
      <c r="B12" s="60" t="n"/>
      <c r="C12" s="61" t="n"/>
      <c r="D12" s="60" t="n"/>
      <c r="F12" s="7" t="n">
        <v>6271</v>
      </c>
      <c r="G12" s="40">
        <f>SUMIF(Table4[Budget Code],"=6271", Table4[Withdrawal])</f>
        <v/>
      </c>
      <c r="I12" s="2" t="n"/>
    </row>
    <row r="13">
      <c r="A13" s="60" t="n"/>
      <c r="B13" s="60" t="n"/>
      <c r="C13" s="61" t="n"/>
      <c r="D13" s="60" t="n"/>
      <c r="F13" s="25" t="inlineStr">
        <is>
          <t>Annual Expenditure</t>
        </is>
      </c>
      <c r="G13" s="32">
        <f>SUBTOTAL(109,G3:G12)</f>
        <v/>
      </c>
      <c r="I13" s="2" t="n"/>
    </row>
    <row r="14">
      <c r="A14" s="60" t="n"/>
      <c r="B14" s="60" t="n"/>
      <c r="C14" s="61" t="n"/>
      <c r="D14" s="60" t="n"/>
      <c r="I14" s="2" t="n"/>
    </row>
    <row r="15">
      <c r="A15" s="60" t="n"/>
      <c r="B15" s="60" t="n"/>
      <c r="C15" s="61" t="n"/>
      <c r="D15" s="60" t="n"/>
    </row>
    <row r="16">
      <c r="A16" s="60" t="n"/>
      <c r="B16" s="60" t="n"/>
      <c r="C16" s="61" t="n"/>
      <c r="D16" s="60" t="n"/>
    </row>
    <row r="17">
      <c r="A17" s="60" t="n"/>
      <c r="B17" s="60" t="n"/>
      <c r="C17" s="61" t="n"/>
      <c r="D17" s="60" t="n"/>
    </row>
    <row r="18">
      <c r="A18" s="60" t="n"/>
      <c r="B18" s="60" t="n"/>
      <c r="C18" s="61" t="n"/>
      <c r="D18" s="60" t="n"/>
    </row>
    <row r="19">
      <c r="A19" s="60" t="n"/>
      <c r="B19" s="60" t="n"/>
      <c r="C19" s="61" t="n"/>
      <c r="D19" s="60" t="n"/>
    </row>
    <row r="20">
      <c r="A20" s="60" t="n"/>
      <c r="B20" s="60" t="n"/>
      <c r="C20" s="61" t="n"/>
      <c r="D20" s="60" t="n"/>
    </row>
    <row r="21">
      <c r="A21" s="60" t="n"/>
      <c r="B21" s="60" t="n"/>
      <c r="C21" s="61" t="n"/>
      <c r="D21" s="60" t="n"/>
    </row>
    <row r="22">
      <c r="A22" s="60" t="n"/>
      <c r="B22" s="60" t="n"/>
      <c r="C22" s="61" t="n"/>
      <c r="D22" s="60" t="n"/>
    </row>
    <row r="23">
      <c r="A23" s="60" t="n"/>
      <c r="B23" s="60" t="n"/>
      <c r="C23" s="61" t="n"/>
      <c r="D23" s="60" t="n"/>
    </row>
    <row r="24">
      <c r="A24" s="60" t="n"/>
      <c r="B24" s="60" t="n"/>
      <c r="C24" s="61" t="n"/>
      <c r="D24" s="60" t="n"/>
    </row>
    <row r="25">
      <c r="A25" s="60" t="n"/>
      <c r="B25" s="60" t="n"/>
      <c r="C25" s="61" t="n"/>
      <c r="D25" s="60" t="n"/>
    </row>
    <row r="26">
      <c r="A26" s="60" t="n"/>
      <c r="B26" s="60" t="n"/>
      <c r="C26" s="61" t="n"/>
      <c r="D26" s="60" t="n"/>
    </row>
    <row r="27">
      <c r="A27" s="60" t="n"/>
      <c r="B27" s="60" t="n"/>
      <c r="C27" s="61" t="n"/>
      <c r="D27" s="60" t="n"/>
    </row>
    <row r="28">
      <c r="A28" s="60" t="n"/>
      <c r="B28" s="60" t="n"/>
      <c r="C28" s="61" t="n"/>
      <c r="D28" s="60" t="n"/>
    </row>
    <row r="29">
      <c r="A29" s="60" t="n"/>
      <c r="B29" s="60" t="n"/>
      <c r="C29" s="61" t="n"/>
      <c r="D29" s="60" t="n"/>
    </row>
    <row r="30">
      <c r="A30" s="60" t="n"/>
      <c r="B30" s="60" t="n"/>
      <c r="C30" s="61" t="n"/>
      <c r="D30" s="60" t="n"/>
    </row>
    <row r="31">
      <c r="A31" s="60" t="n"/>
      <c r="B31" s="60" t="n"/>
      <c r="C31" s="61" t="n"/>
      <c r="D31" s="60" t="n"/>
    </row>
    <row r="32">
      <c r="A32" s="60" t="n"/>
      <c r="B32" s="60" t="n"/>
      <c r="C32" s="61" t="n"/>
      <c r="D32" s="60" t="n"/>
    </row>
    <row r="33">
      <c r="A33" s="60" t="n"/>
      <c r="B33" s="60" t="n"/>
      <c r="C33" s="61" t="n"/>
      <c r="D33" s="60" t="n"/>
    </row>
    <row r="34">
      <c r="A34" s="60" t="n"/>
      <c r="B34" s="60" t="n"/>
      <c r="C34" s="61" t="n"/>
      <c r="D34" s="60" t="n"/>
    </row>
    <row r="35">
      <c r="A35" s="60" t="n"/>
      <c r="B35" s="60" t="n"/>
      <c r="C35" s="61" t="n"/>
      <c r="D35" s="60" t="n"/>
    </row>
    <row r="36">
      <c r="A36" s="60" t="n"/>
      <c r="B36" s="60" t="n"/>
      <c r="C36" s="61" t="n"/>
      <c r="D36" s="60" t="n"/>
    </row>
    <row r="37">
      <c r="A37" s="60" t="n"/>
      <c r="B37" s="60" t="n"/>
      <c r="C37" s="61" t="n"/>
      <c r="D37" s="60" t="n"/>
    </row>
    <row r="38">
      <c r="A38" s="60" t="n"/>
      <c r="B38" s="60" t="n"/>
      <c r="C38" s="61" t="n"/>
      <c r="D38" s="60" t="n"/>
    </row>
    <row r="39">
      <c r="A39" s="60" t="n"/>
      <c r="B39" s="60" t="n"/>
      <c r="C39" s="61" t="n"/>
      <c r="D39" s="60" t="n"/>
    </row>
    <row r="40">
      <c r="A40" s="60" t="n"/>
      <c r="B40" s="60" t="n"/>
      <c r="C40" s="61" t="n"/>
      <c r="D40" s="60" t="n"/>
    </row>
    <row r="41">
      <c r="A41" s="60" t="n"/>
      <c r="B41" s="60" t="n"/>
      <c r="C41" s="61" t="n"/>
      <c r="D41" s="60" t="n"/>
    </row>
    <row r="42">
      <c r="A42" s="60" t="n"/>
      <c r="B42" s="60" t="n"/>
      <c r="C42" s="61" t="n"/>
      <c r="D42" s="60" t="n"/>
    </row>
    <row r="43">
      <c r="A43" s="60" t="n"/>
      <c r="B43" s="60" t="n"/>
      <c r="C43" s="61" t="n"/>
      <c r="D43" s="60" t="n"/>
    </row>
    <row r="44">
      <c r="A44" s="60" t="n"/>
      <c r="B44" s="60" t="n"/>
      <c r="C44" s="61" t="n"/>
      <c r="D44" s="60" t="n"/>
    </row>
    <row r="45">
      <c r="A45" s="60" t="n"/>
      <c r="B45" s="60" t="n"/>
      <c r="C45" s="61" t="n"/>
      <c r="D45" s="60" t="n"/>
    </row>
    <row r="46">
      <c r="A46" s="60" t="n"/>
      <c r="B46" s="60" t="n"/>
      <c r="C46" s="61" t="n"/>
      <c r="D46" s="60" t="n"/>
    </row>
    <row r="47">
      <c r="A47" s="60" t="n"/>
      <c r="B47" s="60" t="n"/>
      <c r="C47" s="61" t="n"/>
      <c r="D47" s="60" t="n"/>
    </row>
    <row r="48">
      <c r="A48" s="60" t="n"/>
      <c r="B48" s="60" t="n"/>
      <c r="C48" s="61" t="n"/>
      <c r="D48" s="60" t="n"/>
    </row>
    <row r="49">
      <c r="A49" s="60" t="n"/>
      <c r="B49" s="60" t="n"/>
      <c r="C49" s="61" t="n"/>
      <c r="D49" s="60" t="n"/>
    </row>
    <row r="50">
      <c r="A50" s="60" t="n"/>
      <c r="B50" s="60" t="n"/>
      <c r="C50" s="61" t="n"/>
      <c r="D50" s="60" t="n"/>
    </row>
    <row r="51">
      <c r="A51" s="60" t="n"/>
      <c r="B51" s="60" t="n"/>
      <c r="C51" s="61" t="n"/>
      <c r="D51" s="60" t="n"/>
    </row>
    <row r="52">
      <c r="A52" s="60" t="n"/>
      <c r="B52" s="60" t="n"/>
      <c r="C52" s="61" t="n"/>
      <c r="D52" s="60" t="n"/>
    </row>
    <row r="53">
      <c r="A53" s="60" t="n"/>
      <c r="B53" s="60" t="n"/>
      <c r="C53" s="61" t="n"/>
      <c r="D53" s="60" t="n"/>
    </row>
    <row r="54">
      <c r="A54" s="60" t="n"/>
      <c r="B54" s="60" t="n"/>
      <c r="C54" s="61" t="n"/>
      <c r="D54" s="60" t="n"/>
    </row>
    <row r="55">
      <c r="A55" s="60" t="n"/>
      <c r="B55" s="60" t="n"/>
      <c r="C55" s="61" t="n"/>
      <c r="D55" s="60" t="n"/>
    </row>
    <row r="56">
      <c r="A56" s="60" t="n"/>
      <c r="B56" s="60" t="n"/>
      <c r="C56" s="61" t="n"/>
      <c r="D56" s="60" t="n"/>
    </row>
    <row r="57">
      <c r="A57" s="60" t="n"/>
      <c r="B57" s="60" t="n"/>
      <c r="C57" s="61" t="n"/>
      <c r="D57" s="60" t="n"/>
    </row>
    <row r="58">
      <c r="A58" s="60" t="n"/>
      <c r="B58" s="60" t="n"/>
      <c r="C58" s="61" t="n"/>
      <c r="D58" s="60" t="n"/>
    </row>
    <row r="59">
      <c r="A59" s="60" t="n"/>
      <c r="B59" s="60" t="n"/>
      <c r="C59" s="61" t="n"/>
      <c r="D59" s="60" t="n"/>
    </row>
    <row r="60">
      <c r="A60" s="60" t="n"/>
      <c r="B60" s="60" t="n"/>
      <c r="C60" s="61" t="n"/>
      <c r="D60" s="60" t="n"/>
    </row>
    <row r="61">
      <c r="A61" s="60" t="n"/>
      <c r="B61" s="60" t="n"/>
      <c r="C61" s="61" t="n"/>
      <c r="D61" s="60" t="n"/>
    </row>
    <row r="62">
      <c r="A62" s="60" t="n"/>
      <c r="B62" s="60" t="n"/>
      <c r="C62" s="61" t="n"/>
      <c r="D62" s="60" t="n"/>
    </row>
    <row r="63">
      <c r="A63" s="60" t="n"/>
      <c r="B63" s="60" t="n"/>
      <c r="C63" s="61" t="n"/>
      <c r="D63" s="60" t="n"/>
    </row>
    <row r="64">
      <c r="A64" s="60" t="n"/>
      <c r="B64" s="60" t="n"/>
      <c r="C64" s="61" t="n"/>
      <c r="D64" s="60" t="n"/>
    </row>
    <row r="65">
      <c r="A65" s="60" t="n"/>
      <c r="B65" s="60" t="n"/>
      <c r="C65" s="61" t="n"/>
      <c r="D65" s="60" t="n"/>
    </row>
    <row r="66">
      <c r="A66" s="60" t="n"/>
      <c r="B66" s="60" t="n"/>
      <c r="C66" s="61" t="n"/>
      <c r="D66" s="60" t="n"/>
    </row>
    <row r="67">
      <c r="A67" s="60" t="n"/>
      <c r="B67" s="60" t="n"/>
      <c r="C67" s="61" t="n"/>
      <c r="D67" s="60" t="n"/>
    </row>
    <row r="68">
      <c r="A68" s="60" t="n"/>
      <c r="B68" s="60" t="n"/>
      <c r="C68" s="61" t="n"/>
      <c r="D68" s="60" t="n"/>
    </row>
    <row r="69">
      <c r="A69" s="60" t="n"/>
      <c r="B69" s="60" t="n"/>
      <c r="C69" s="61" t="n"/>
      <c r="D69" s="60" t="n"/>
    </row>
    <row r="70">
      <c r="A70" s="60" t="n"/>
      <c r="B70" s="60" t="n"/>
      <c r="C70" s="61" t="n"/>
      <c r="D70" s="60" t="n"/>
    </row>
    <row r="71">
      <c r="A71" s="60" t="n"/>
      <c r="B71" s="60" t="n"/>
      <c r="C71" s="61" t="n"/>
      <c r="D71" s="60" t="n"/>
    </row>
    <row r="72">
      <c r="A72" s="60" t="n"/>
      <c r="B72" s="60" t="n"/>
      <c r="C72" s="61" t="n"/>
      <c r="D72" s="60" t="n"/>
    </row>
    <row r="73">
      <c r="A73" s="60" t="n"/>
      <c r="B73" s="60" t="n"/>
      <c r="C73" s="61" t="n"/>
      <c r="D73" s="60" t="n"/>
    </row>
    <row r="74">
      <c r="A74" s="60" t="n"/>
      <c r="B74" s="60" t="n"/>
      <c r="C74" s="61" t="n"/>
      <c r="D74" s="60" t="n"/>
    </row>
    <row r="75">
      <c r="A75" s="60" t="n"/>
      <c r="B75" s="60" t="n"/>
      <c r="C75" s="61" t="n"/>
      <c r="D75" s="60" t="n"/>
    </row>
    <row r="76">
      <c r="A76" s="60" t="n"/>
      <c r="B76" s="60" t="n"/>
      <c r="C76" s="61" t="n"/>
      <c r="D76" s="60" t="n"/>
    </row>
    <row r="77">
      <c r="A77" s="60" t="n"/>
      <c r="B77" s="60" t="n"/>
      <c r="C77" s="61" t="n"/>
      <c r="D77" s="60" t="n"/>
    </row>
    <row r="78">
      <c r="A78" s="60" t="n"/>
      <c r="B78" s="60" t="n"/>
      <c r="C78" s="61" t="n"/>
      <c r="D78" s="60" t="n"/>
    </row>
    <row r="79">
      <c r="A79" s="60" t="n"/>
      <c r="B79" s="60" t="n"/>
      <c r="C79" s="61" t="n"/>
      <c r="D79" s="60" t="n"/>
    </row>
    <row r="80">
      <c r="A80" s="60" t="n"/>
      <c r="B80" s="60" t="n"/>
      <c r="C80" s="61" t="n"/>
      <c r="D80" s="60" t="n"/>
    </row>
    <row r="81">
      <c r="A81" s="60" t="n"/>
      <c r="B81" s="60" t="n"/>
      <c r="C81" s="61" t="n"/>
      <c r="D81" s="60" t="n"/>
    </row>
    <row r="82">
      <c r="A82" s="60" t="n"/>
      <c r="B82" s="60" t="n"/>
      <c r="C82" s="61" t="n"/>
      <c r="D82" s="60" t="n"/>
    </row>
    <row r="83">
      <c r="A83" s="60" t="n"/>
      <c r="B83" s="60" t="n"/>
      <c r="C83" s="61" t="n"/>
      <c r="D83" s="60" t="n"/>
    </row>
    <row r="84">
      <c r="A84" s="60" t="n"/>
      <c r="B84" s="60" t="n"/>
      <c r="C84" s="61" t="n"/>
      <c r="D84" s="60" t="n"/>
    </row>
    <row r="85">
      <c r="A85" s="60" t="n"/>
      <c r="B85" s="60" t="n"/>
      <c r="C85" s="61" t="n"/>
      <c r="D85" s="60" t="n"/>
    </row>
    <row r="86">
      <c r="A86" s="60" t="n"/>
      <c r="B86" s="60" t="n"/>
      <c r="C86" s="61" t="n"/>
      <c r="D86" s="60" t="n"/>
    </row>
    <row r="87">
      <c r="A87" s="60" t="n"/>
      <c r="B87" s="60" t="n"/>
      <c r="C87" s="61" t="n"/>
      <c r="D87" s="60" t="n"/>
    </row>
    <row r="88">
      <c r="A88" s="60" t="n"/>
      <c r="B88" s="60" t="n"/>
      <c r="C88" s="61" t="n"/>
      <c r="D88" s="60" t="n"/>
    </row>
    <row r="89">
      <c r="A89" s="60" t="n"/>
      <c r="B89" s="60" t="n"/>
      <c r="C89" s="61" t="n"/>
      <c r="D89" s="60" t="n"/>
    </row>
    <row r="90">
      <c r="A90" s="60" t="n"/>
      <c r="B90" s="60" t="n"/>
      <c r="C90" s="61" t="n"/>
      <c r="D90" s="60" t="n"/>
    </row>
    <row r="91">
      <c r="A91" s="60" t="n"/>
      <c r="B91" s="60" t="n"/>
      <c r="C91" s="61" t="n"/>
      <c r="D91" s="60" t="n"/>
    </row>
    <row r="92">
      <c r="A92" s="60" t="n"/>
      <c r="B92" s="60" t="n"/>
      <c r="C92" s="61" t="n"/>
      <c r="D92" s="60" t="n"/>
    </row>
    <row r="93">
      <c r="A93" s="60" t="n"/>
      <c r="B93" s="60" t="n"/>
      <c r="C93" s="61" t="n"/>
      <c r="D93" s="60" t="n"/>
    </row>
    <row r="94">
      <c r="A94" s="60" t="n"/>
      <c r="B94" s="60" t="n"/>
      <c r="C94" s="61" t="n"/>
      <c r="D94" s="60" t="n"/>
    </row>
    <row r="95">
      <c r="A95" s="60" t="n"/>
      <c r="B95" s="60" t="n"/>
      <c r="C95" s="61" t="n"/>
      <c r="D95" s="60" t="n"/>
    </row>
    <row r="96">
      <c r="A96" s="60" t="n"/>
      <c r="B96" s="60" t="n"/>
      <c r="C96" s="61" t="n"/>
      <c r="D96" s="60" t="n"/>
    </row>
    <row r="97">
      <c r="A97" s="60" t="n"/>
      <c r="B97" s="60" t="n"/>
      <c r="C97" s="61" t="n"/>
      <c r="D97" s="60" t="n"/>
    </row>
    <row r="98">
      <c r="A98" s="60" t="n"/>
      <c r="B98" s="60" t="n"/>
      <c r="C98" s="61" t="n"/>
      <c r="D98" s="60" t="n"/>
    </row>
    <row r="99">
      <c r="A99" s="60" t="n"/>
      <c r="B99" s="60" t="n"/>
      <c r="C99" s="61" t="n"/>
      <c r="D99" s="60" t="n"/>
    </row>
    <row r="100">
      <c r="A100" s="60" t="n"/>
      <c r="B100" s="60" t="n"/>
      <c r="C100" s="61" t="n"/>
      <c r="D100" s="60" t="n"/>
    </row>
    <row r="101">
      <c r="A101" s="60" t="n"/>
      <c r="B101" s="60" t="n"/>
      <c r="C101" s="61" t="n"/>
      <c r="D101" s="60" t="n"/>
    </row>
    <row r="102">
      <c r="A102" s="60" t="n"/>
      <c r="B102" s="60" t="n"/>
      <c r="C102" s="61" t="n"/>
      <c r="D102" s="60" t="n"/>
    </row>
    <row r="103">
      <c r="A103" s="60" t="n"/>
      <c r="B103" s="60" t="n"/>
      <c r="C103" s="61" t="n"/>
      <c r="D103" s="60" t="n"/>
    </row>
    <row r="104">
      <c r="A104" s="60" t="n"/>
      <c r="B104" s="60" t="n"/>
      <c r="C104" s="61" t="n"/>
      <c r="D104" s="60" t="n"/>
    </row>
    <row r="105">
      <c r="A105" s="60" t="n"/>
      <c r="B105" s="60" t="n"/>
      <c r="C105" s="61" t="n"/>
      <c r="D105" s="60" t="n"/>
    </row>
    <row r="106">
      <c r="A106" s="60" t="n"/>
      <c r="B106" s="60" t="n"/>
      <c r="C106" s="61" t="n"/>
      <c r="D106" s="60" t="n"/>
    </row>
    <row r="107">
      <c r="A107" s="60" t="n"/>
      <c r="B107" s="60" t="n"/>
      <c r="C107" s="61" t="n"/>
      <c r="D107" s="60" t="n"/>
    </row>
    <row r="108">
      <c r="A108" s="60" t="n"/>
      <c r="B108" s="60" t="n"/>
      <c r="C108" s="61" t="n"/>
      <c r="D108" s="60" t="n"/>
    </row>
    <row r="109">
      <c r="A109" s="60" t="n"/>
      <c r="B109" s="60" t="n"/>
      <c r="C109" s="61" t="n"/>
      <c r="D109" s="60" t="n"/>
    </row>
    <row r="110">
      <c r="A110" s="60" t="n"/>
      <c r="B110" s="60" t="n"/>
      <c r="C110" s="61" t="n"/>
      <c r="D110" s="60" t="n"/>
    </row>
    <row r="111">
      <c r="A111" s="60" t="n"/>
      <c r="B111" s="60" t="n"/>
      <c r="C111" s="61" t="n"/>
      <c r="D111" s="60" t="n"/>
    </row>
    <row r="112">
      <c r="A112" s="60" t="n"/>
      <c r="B112" s="60" t="n"/>
      <c r="C112" s="61" t="n"/>
      <c r="D112" s="60" t="n"/>
    </row>
    <row r="113">
      <c r="A113" s="60" t="n"/>
      <c r="B113" s="60" t="n"/>
      <c r="C113" s="61" t="n"/>
      <c r="D113" s="60" t="n"/>
    </row>
    <row r="114">
      <c r="A114" s="60" t="n"/>
      <c r="B114" s="60" t="n"/>
      <c r="C114" s="61" t="n"/>
      <c r="D114" s="60" t="n"/>
    </row>
    <row r="115">
      <c r="A115" s="60" t="n"/>
      <c r="B115" s="60" t="n"/>
      <c r="C115" s="61" t="n"/>
      <c r="D115" s="60" t="n"/>
    </row>
    <row r="116">
      <c r="A116" s="60" t="n"/>
      <c r="B116" s="60" t="n"/>
      <c r="C116" s="61" t="n"/>
      <c r="D116" s="60" t="n"/>
    </row>
    <row r="117">
      <c r="A117" s="60" t="n"/>
      <c r="B117" s="60" t="n"/>
      <c r="C117" s="61" t="n"/>
      <c r="D117" s="60" t="n"/>
    </row>
    <row r="118">
      <c r="A118" s="60" t="n"/>
      <c r="B118" s="60" t="n"/>
      <c r="C118" s="61" t="n"/>
      <c r="D118" s="60" t="n"/>
    </row>
    <row r="119">
      <c r="A119" s="60" t="n"/>
      <c r="B119" s="60" t="n"/>
      <c r="C119" s="61" t="n"/>
      <c r="D119" s="60" t="n"/>
    </row>
    <row r="120">
      <c r="A120" s="60" t="n"/>
      <c r="B120" s="60" t="n"/>
      <c r="C120" s="61" t="n"/>
      <c r="D120" s="60" t="n"/>
    </row>
    <row r="121">
      <c r="A121" s="60" t="n"/>
      <c r="B121" s="60" t="n"/>
      <c r="C121" s="61" t="n"/>
      <c r="D121" s="60" t="n"/>
    </row>
    <row r="122">
      <c r="A122" s="60" t="n"/>
      <c r="B122" s="60" t="n"/>
      <c r="C122" s="61" t="n"/>
      <c r="D122" s="60" t="n"/>
    </row>
    <row r="123">
      <c r="A123" s="60" t="n"/>
      <c r="B123" s="60" t="n"/>
      <c r="C123" s="61" t="n"/>
      <c r="D123" s="60" t="n"/>
    </row>
    <row r="124">
      <c r="A124" s="60" t="n"/>
      <c r="B124" s="60" t="n"/>
      <c r="C124" s="61" t="n"/>
      <c r="D124" s="60" t="n"/>
    </row>
    <row r="125">
      <c r="A125" s="60" t="n"/>
      <c r="B125" s="60" t="n"/>
      <c r="C125" s="61" t="n"/>
      <c r="D125" s="60" t="n"/>
    </row>
    <row r="126">
      <c r="A126" s="60" t="n"/>
      <c r="B126" s="60" t="n"/>
      <c r="C126" s="61" t="n"/>
      <c r="D126" s="60" t="n"/>
    </row>
    <row r="127">
      <c r="A127" s="60" t="n"/>
      <c r="B127" s="60" t="n"/>
      <c r="C127" s="61" t="n"/>
      <c r="D127" s="60" t="n"/>
    </row>
    <row r="128">
      <c r="A128" s="60" t="n"/>
      <c r="B128" s="60" t="n"/>
      <c r="C128" s="61" t="n"/>
      <c r="D128" s="60" t="n"/>
    </row>
    <row r="129">
      <c r="A129" s="60" t="n"/>
      <c r="B129" s="60" t="n"/>
      <c r="C129" s="61" t="n"/>
      <c r="D129" s="60" t="n"/>
    </row>
    <row r="130">
      <c r="A130" s="60" t="n"/>
      <c r="B130" s="60" t="n"/>
      <c r="C130" s="61" t="n"/>
      <c r="D130" s="60" t="n"/>
    </row>
    <row r="131">
      <c r="A131" s="60" t="n"/>
      <c r="B131" s="60" t="n"/>
      <c r="C131" s="61" t="n"/>
      <c r="D131" s="60" t="n"/>
    </row>
    <row r="132">
      <c r="A132" s="60" t="n"/>
      <c r="B132" s="60" t="n"/>
      <c r="C132" s="61" t="n"/>
      <c r="D132" s="60" t="n"/>
    </row>
    <row r="133">
      <c r="A133" s="60" t="n"/>
      <c r="B133" s="60" t="n"/>
      <c r="C133" s="61" t="n"/>
      <c r="D133" s="60" t="n"/>
    </row>
    <row r="134">
      <c r="A134" s="60" t="n"/>
      <c r="B134" s="60" t="n"/>
      <c r="C134" s="61" t="n"/>
      <c r="D134" s="60" t="n"/>
    </row>
    <row r="135">
      <c r="A135" s="60" t="n"/>
      <c r="B135" s="60" t="n"/>
      <c r="C135" s="61" t="n"/>
      <c r="D135" s="60" t="n"/>
    </row>
    <row r="136">
      <c r="A136" s="60" t="n"/>
      <c r="B136" s="60" t="n"/>
      <c r="C136" s="61" t="n"/>
      <c r="D136" s="60" t="n"/>
    </row>
    <row r="137">
      <c r="A137" s="60" t="n"/>
      <c r="B137" s="60" t="n"/>
      <c r="C137" s="61" t="n"/>
      <c r="D137" s="60" t="n"/>
    </row>
    <row r="138">
      <c r="A138" s="60" t="n"/>
      <c r="B138" s="60" t="n"/>
      <c r="C138" s="61" t="n"/>
      <c r="D138" s="60" t="n"/>
    </row>
    <row r="139">
      <c r="A139" s="60" t="n"/>
      <c r="B139" s="60" t="n"/>
      <c r="C139" s="61" t="n"/>
      <c r="D139" s="60" t="n"/>
    </row>
    <row r="140">
      <c r="A140" s="60" t="n"/>
      <c r="B140" s="60" t="n"/>
      <c r="C140" s="61" t="n"/>
      <c r="D140" s="60" t="n"/>
    </row>
    <row r="141">
      <c r="A141" s="60" t="n"/>
      <c r="B141" s="60" t="n"/>
      <c r="C141" s="61" t="n"/>
      <c r="D141" s="60" t="n"/>
    </row>
    <row r="142">
      <c r="A142" s="60" t="n"/>
      <c r="B142" s="60" t="n"/>
      <c r="C142" s="61" t="n"/>
      <c r="D142" s="60" t="n"/>
    </row>
    <row r="143">
      <c r="A143" s="60" t="n"/>
      <c r="B143" s="60" t="n"/>
      <c r="C143" s="61" t="n"/>
      <c r="D143" s="60" t="n"/>
    </row>
    <row r="144">
      <c r="A144" s="60" t="n"/>
      <c r="B144" s="60" t="n"/>
      <c r="C144" s="61" t="n"/>
      <c r="D144" s="60" t="n"/>
    </row>
    <row r="145">
      <c r="A145" s="60" t="n"/>
      <c r="B145" s="60" t="n"/>
      <c r="C145" s="61" t="n"/>
      <c r="D145" s="60" t="n"/>
    </row>
    <row r="146">
      <c r="A146" s="60" t="n"/>
      <c r="B146" s="60" t="n"/>
      <c r="C146" s="61" t="n"/>
      <c r="D146" s="60" t="n"/>
    </row>
    <row r="147">
      <c r="A147" s="60" t="n"/>
      <c r="B147" s="60" t="n"/>
      <c r="C147" s="61" t="n"/>
      <c r="D147" s="60" t="n"/>
    </row>
    <row r="148">
      <c r="A148" s="60" t="n"/>
      <c r="B148" s="60" t="n"/>
      <c r="C148" s="61" t="n"/>
      <c r="D148" s="60" t="n"/>
    </row>
    <row r="149">
      <c r="A149" s="60" t="n"/>
      <c r="B149" s="60" t="n"/>
      <c r="C149" s="61" t="n"/>
      <c r="D149" s="60" t="n"/>
    </row>
    <row r="150">
      <c r="A150" s="60" t="n"/>
      <c r="B150" s="60" t="n"/>
      <c r="C150" s="61" t="n"/>
      <c r="D150" s="60" t="n"/>
    </row>
    <row r="151">
      <c r="A151" s="60" t="n"/>
      <c r="B151" s="60" t="n"/>
      <c r="C151" s="61" t="n"/>
      <c r="D151" s="60" t="n"/>
    </row>
    <row r="152">
      <c r="A152" s="60" t="n"/>
      <c r="B152" s="60" t="n"/>
      <c r="C152" s="61" t="n"/>
      <c r="D152" s="60" t="n"/>
    </row>
    <row r="153">
      <c r="A153" s="60" t="n"/>
      <c r="B153" s="60" t="n"/>
      <c r="C153" s="61" t="n"/>
      <c r="D153" s="60" t="n"/>
    </row>
    <row r="154">
      <c r="A154" s="60" t="n"/>
      <c r="B154" s="60" t="n"/>
      <c r="C154" s="61" t="n"/>
      <c r="D154" s="60" t="n"/>
    </row>
    <row r="155">
      <c r="A155" s="60" t="n"/>
      <c r="B155" s="60" t="n"/>
      <c r="C155" s="61" t="n"/>
      <c r="D155" s="60" t="n"/>
    </row>
    <row r="156">
      <c r="A156" s="60" t="n"/>
      <c r="B156" s="60" t="n"/>
      <c r="C156" s="61" t="n"/>
      <c r="D156" s="60" t="n"/>
    </row>
    <row r="157">
      <c r="A157" s="60" t="n"/>
      <c r="B157" s="60" t="n"/>
      <c r="C157" s="61" t="n"/>
      <c r="D157" s="60" t="n"/>
    </row>
    <row r="158">
      <c r="A158" s="60" t="n"/>
      <c r="B158" s="60" t="n"/>
      <c r="C158" s="61" t="n"/>
      <c r="D158" s="60" t="n"/>
    </row>
    <row r="159">
      <c r="A159" s="60" t="n"/>
      <c r="B159" s="60" t="n"/>
      <c r="C159" s="61" t="n"/>
      <c r="D159" s="60" t="n"/>
    </row>
    <row r="160">
      <c r="A160" s="60" t="n"/>
      <c r="B160" s="60" t="n"/>
      <c r="C160" s="61" t="n"/>
      <c r="D160" s="60" t="n"/>
    </row>
    <row r="161">
      <c r="A161" s="60" t="n"/>
      <c r="B161" s="60" t="n"/>
      <c r="C161" s="61" t="n"/>
      <c r="D161" s="60" t="n"/>
    </row>
    <row r="162">
      <c r="A162" s="60" t="n"/>
      <c r="B162" s="60" t="n"/>
      <c r="C162" s="61" t="n"/>
      <c r="D162" s="60" t="n"/>
    </row>
    <row r="163">
      <c r="A163" s="60" t="n"/>
      <c r="B163" s="60" t="n"/>
      <c r="C163" s="61" t="n"/>
      <c r="D163" s="60" t="n"/>
    </row>
    <row r="164">
      <c r="A164" s="60" t="n"/>
      <c r="B164" s="60" t="n"/>
      <c r="C164" s="61" t="n"/>
      <c r="D164" s="60" t="n"/>
    </row>
    <row r="165">
      <c r="A165" s="60" t="n"/>
      <c r="B165" s="60" t="n"/>
      <c r="C165" s="61" t="n"/>
      <c r="D165" s="60" t="n"/>
    </row>
    <row r="166">
      <c r="A166" s="60" t="n"/>
      <c r="B166" s="60" t="n"/>
      <c r="C166" s="61" t="n"/>
      <c r="D166" s="60" t="n"/>
    </row>
    <row r="167">
      <c r="A167" s="60" t="n"/>
      <c r="B167" s="60" t="n"/>
      <c r="C167" s="61" t="n"/>
      <c r="D167" s="60" t="n"/>
    </row>
    <row r="168">
      <c r="A168" s="60" t="n"/>
      <c r="B168" s="60" t="n"/>
      <c r="C168" s="61" t="n"/>
      <c r="D168" s="60" t="n"/>
    </row>
    <row r="169">
      <c r="A169" s="60" t="n"/>
      <c r="B169" s="60" t="n"/>
      <c r="C169" s="61" t="n"/>
      <c r="D169" s="60" t="n"/>
    </row>
    <row r="170">
      <c r="A170" s="60" t="n"/>
      <c r="B170" s="60" t="n"/>
      <c r="C170" s="61" t="n"/>
      <c r="D170" s="60" t="n"/>
    </row>
    <row r="171">
      <c r="A171" s="60" t="n"/>
      <c r="B171" s="60" t="n"/>
      <c r="C171" s="61" t="n"/>
      <c r="D171" s="60" t="n"/>
    </row>
    <row r="172">
      <c r="A172" s="60" t="n"/>
      <c r="B172" s="60" t="n"/>
      <c r="C172" s="61" t="n"/>
      <c r="D172" s="60" t="n"/>
    </row>
    <row r="173">
      <c r="A173" s="60" t="n"/>
      <c r="B173" s="60" t="n"/>
      <c r="C173" s="61" t="n"/>
      <c r="D173" s="60" t="n"/>
    </row>
    <row r="174">
      <c r="A174" s="60" t="n"/>
      <c r="B174" s="60" t="n"/>
      <c r="C174" s="61" t="n"/>
      <c r="D174" s="60" t="n"/>
    </row>
    <row r="175">
      <c r="A175" s="60" t="n"/>
      <c r="B175" s="60" t="n"/>
      <c r="C175" s="61" t="n"/>
      <c r="D175" s="60" t="n"/>
    </row>
    <row r="176">
      <c r="A176" s="60" t="n"/>
      <c r="B176" s="60" t="n"/>
      <c r="C176" s="61" t="n"/>
      <c r="D176" s="60" t="n"/>
    </row>
    <row r="177">
      <c r="A177" s="60" t="n"/>
      <c r="B177" s="60" t="n"/>
      <c r="C177" s="61" t="n"/>
      <c r="D177" s="60" t="n"/>
    </row>
    <row r="178">
      <c r="A178" s="60" t="n"/>
      <c r="B178" s="60" t="n"/>
      <c r="C178" s="61" t="n"/>
      <c r="D178" s="60" t="n"/>
    </row>
    <row r="179">
      <c r="A179" s="60" t="n"/>
      <c r="B179" s="60" t="n"/>
      <c r="C179" s="61" t="n"/>
      <c r="D179" s="60" t="n"/>
    </row>
    <row r="180">
      <c r="A180" s="60" t="n"/>
      <c r="B180" s="60" t="n"/>
      <c r="C180" s="61" t="n"/>
      <c r="D180" s="60" t="n"/>
    </row>
    <row r="181">
      <c r="A181" s="60" t="n"/>
      <c r="B181" s="60" t="n"/>
      <c r="C181" s="61" t="n"/>
      <c r="D181" s="60" t="n"/>
    </row>
    <row r="182">
      <c r="A182" s="60" t="n"/>
      <c r="B182" s="60" t="n"/>
      <c r="C182" s="61" t="n"/>
      <c r="D182" s="60" t="n"/>
    </row>
    <row r="183">
      <c r="A183" s="60" t="n"/>
      <c r="B183" s="60" t="n"/>
      <c r="C183" s="61" t="n"/>
      <c r="D183" s="60" t="n"/>
    </row>
    <row r="184">
      <c r="A184" s="60" t="n"/>
      <c r="B184" s="60" t="n"/>
      <c r="C184" s="61" t="n"/>
      <c r="D184" s="60" t="n"/>
    </row>
    <row r="185">
      <c r="A185" s="60" t="n"/>
      <c r="B185" s="60" t="n"/>
      <c r="C185" s="61" t="n"/>
      <c r="D185" s="60" t="n"/>
    </row>
    <row r="186">
      <c r="A186" s="60" t="n"/>
      <c r="B186" s="60" t="n"/>
      <c r="C186" s="61" t="n"/>
      <c r="D186" s="60" t="n"/>
    </row>
    <row r="187">
      <c r="A187" s="60" t="n"/>
      <c r="B187" s="60" t="n"/>
      <c r="C187" s="61" t="n"/>
      <c r="D187" s="60" t="n"/>
    </row>
    <row r="188">
      <c r="A188" s="60" t="n"/>
      <c r="B188" s="60" t="n"/>
      <c r="C188" s="61" t="n"/>
      <c r="D188" s="60" t="n"/>
    </row>
    <row r="189">
      <c r="A189" s="60" t="n"/>
      <c r="B189" s="60" t="n"/>
      <c r="C189" s="61" t="n"/>
      <c r="D189" s="60" t="n"/>
    </row>
    <row r="190">
      <c r="A190" s="60" t="n"/>
      <c r="B190" s="60" t="n"/>
      <c r="C190" s="61" t="n"/>
      <c r="D190" s="60" t="n"/>
    </row>
    <row r="191">
      <c r="A191" s="60" t="n"/>
      <c r="B191" s="60" t="n"/>
      <c r="C191" s="61" t="n"/>
      <c r="D191" s="60" t="n"/>
    </row>
    <row r="192">
      <c r="A192" s="60" t="n"/>
      <c r="B192" s="60" t="n"/>
      <c r="C192" s="61" t="n"/>
      <c r="D192" s="60" t="n"/>
    </row>
    <row r="193">
      <c r="A193" s="60" t="n"/>
      <c r="B193" s="60" t="n"/>
      <c r="C193" s="61" t="n"/>
      <c r="D193" s="60" t="n"/>
    </row>
    <row r="194">
      <c r="A194" s="60" t="n"/>
      <c r="B194" s="60" t="n"/>
      <c r="C194" s="61" t="n"/>
      <c r="D194" s="60" t="n"/>
    </row>
    <row r="195">
      <c r="A195" s="60" t="n"/>
      <c r="B195" s="60" t="n"/>
      <c r="C195" s="61" t="n"/>
      <c r="D195" s="60" t="n"/>
    </row>
    <row r="196">
      <c r="A196" s="60" t="n"/>
      <c r="B196" s="60" t="n"/>
      <c r="C196" s="61" t="n"/>
      <c r="D196" s="60" t="n"/>
    </row>
    <row r="197">
      <c r="A197" s="60" t="n"/>
      <c r="B197" s="60" t="n"/>
      <c r="C197" s="61" t="n"/>
      <c r="D197" s="60" t="n"/>
    </row>
    <row r="198">
      <c r="A198" s="60" t="n"/>
      <c r="B198" s="60" t="n"/>
      <c r="C198" s="61" t="n"/>
      <c r="D198" s="60" t="n"/>
    </row>
    <row r="199">
      <c r="A199" s="60" t="n"/>
      <c r="B199" s="60" t="n"/>
      <c r="C199" s="61" t="n"/>
      <c r="D199" s="60" t="n"/>
    </row>
    <row r="200">
      <c r="A200" s="60" t="n"/>
      <c r="B200" s="60" t="n"/>
      <c r="C200" s="61" t="n"/>
      <c r="D200" s="60" t="n"/>
    </row>
    <row r="201">
      <c r="A201" s="60" t="n"/>
      <c r="B201" s="60" t="n"/>
      <c r="C201" s="61" t="n"/>
      <c r="D201" s="60" t="n"/>
    </row>
    <row r="202">
      <c r="A202" s="60" t="n"/>
      <c r="B202" s="60" t="n"/>
      <c r="C202" s="61" t="n"/>
      <c r="D202" s="60" t="n"/>
    </row>
    <row r="203">
      <c r="A203" s="60" t="n"/>
      <c r="B203" s="60" t="n"/>
      <c r="C203" s="61" t="n"/>
      <c r="D203" s="60" t="n"/>
    </row>
    <row r="204">
      <c r="A204" s="60" t="n"/>
      <c r="B204" s="60" t="n"/>
      <c r="C204" s="61" t="n"/>
      <c r="D204" s="60" t="n"/>
    </row>
    <row r="205">
      <c r="A205" s="60" t="n"/>
      <c r="B205" s="60" t="n"/>
      <c r="C205" s="61" t="n"/>
      <c r="D205" s="60" t="n"/>
    </row>
    <row r="206">
      <c r="A206" s="60" t="n"/>
      <c r="B206" s="60" t="n"/>
      <c r="C206" s="61" t="n"/>
      <c r="D206" s="60" t="n"/>
    </row>
    <row r="207">
      <c r="A207" s="60" t="n"/>
      <c r="B207" s="60" t="n"/>
      <c r="C207" s="61" t="n"/>
      <c r="D207" s="60" t="n"/>
    </row>
    <row r="208">
      <c r="A208" s="60" t="n"/>
      <c r="B208" s="60" t="n"/>
      <c r="C208" s="61" t="n"/>
      <c r="D208" s="60" t="n"/>
    </row>
    <row r="209">
      <c r="A209" s="60" t="n"/>
      <c r="B209" s="60" t="n"/>
      <c r="C209" s="61" t="n"/>
      <c r="D209" s="60" t="n"/>
    </row>
    <row r="210">
      <c r="A210" s="60" t="n"/>
      <c r="B210" s="60" t="n"/>
      <c r="C210" s="61" t="n"/>
      <c r="D210" s="60" t="n"/>
    </row>
    <row r="211">
      <c r="A211" s="60" t="n"/>
      <c r="B211" s="60" t="n"/>
      <c r="C211" s="61" t="n"/>
      <c r="D211" s="60" t="n"/>
    </row>
    <row r="212">
      <c r="A212" s="60" t="n"/>
      <c r="B212" s="60" t="n"/>
      <c r="C212" s="61" t="n"/>
      <c r="D212" s="60" t="n"/>
    </row>
    <row r="213">
      <c r="A213" s="60" t="n"/>
      <c r="B213" s="60" t="n"/>
      <c r="C213" s="61" t="n"/>
      <c r="D213" s="60" t="n"/>
    </row>
    <row r="214">
      <c r="A214" s="60" t="n"/>
      <c r="B214" s="60" t="n"/>
      <c r="C214" s="61" t="n"/>
      <c r="D214" s="60" t="n"/>
    </row>
    <row r="215">
      <c r="A215" s="60" t="n"/>
      <c r="B215" s="60" t="n"/>
      <c r="C215" s="61" t="n"/>
      <c r="D215" s="60" t="n"/>
    </row>
    <row r="216">
      <c r="A216" s="60" t="n"/>
      <c r="B216" s="60" t="n"/>
      <c r="C216" s="61" t="n"/>
      <c r="D216" s="60" t="n"/>
    </row>
    <row r="217">
      <c r="A217" s="60" t="n"/>
      <c r="B217" s="60" t="n"/>
      <c r="C217" s="61" t="n"/>
      <c r="D217" s="60" t="n"/>
    </row>
    <row r="218">
      <c r="A218" s="60" t="n"/>
      <c r="B218" s="60" t="n"/>
      <c r="C218" s="61" t="n"/>
      <c r="D218" s="60" t="n"/>
    </row>
    <row r="219">
      <c r="A219" s="60" t="n"/>
      <c r="B219" s="60" t="n"/>
      <c r="C219" s="61" t="n"/>
      <c r="D219" s="60" t="n"/>
    </row>
    <row r="220">
      <c r="A220" s="60" t="n"/>
      <c r="B220" s="60" t="n"/>
      <c r="C220" s="61" t="n"/>
      <c r="D220" s="60" t="n"/>
    </row>
    <row r="221">
      <c r="A221" s="60" t="n"/>
      <c r="B221" s="60" t="n"/>
      <c r="C221" s="61" t="n"/>
      <c r="D221" s="60" t="n"/>
    </row>
    <row r="222">
      <c r="A222" s="60" t="n"/>
      <c r="B222" s="60" t="n"/>
      <c r="C222" s="61" t="n"/>
      <c r="D222" s="60" t="n"/>
    </row>
    <row r="223">
      <c r="A223" s="60" t="n"/>
      <c r="B223" s="60" t="n"/>
      <c r="C223" s="61" t="n"/>
      <c r="D223" s="60" t="n"/>
    </row>
    <row r="224">
      <c r="A224" s="60" t="n"/>
      <c r="B224" s="60" t="n"/>
      <c r="C224" s="61" t="n"/>
      <c r="D224" s="60" t="n"/>
    </row>
    <row r="225">
      <c r="A225" s="60" t="n"/>
      <c r="B225" s="60" t="n"/>
      <c r="C225" s="61" t="n"/>
      <c r="D225" s="60" t="n"/>
    </row>
    <row r="226">
      <c r="A226" s="60" t="n"/>
      <c r="B226" s="60" t="n"/>
      <c r="C226" s="61" t="n"/>
      <c r="D226" s="60" t="n"/>
    </row>
    <row r="227">
      <c r="A227" s="60" t="n"/>
      <c r="B227" s="60" t="n"/>
      <c r="C227" s="61" t="n"/>
      <c r="D227" s="60" t="n"/>
    </row>
    <row r="228">
      <c r="A228" s="60" t="n"/>
      <c r="B228" s="60" t="n"/>
      <c r="C228" s="61" t="n"/>
      <c r="D228" s="60" t="n"/>
    </row>
    <row r="229">
      <c r="A229" s="60" t="n"/>
      <c r="B229" s="60" t="n"/>
      <c r="C229" s="61" t="n"/>
      <c r="D229" s="60" t="n"/>
    </row>
    <row r="230">
      <c r="A230" s="60" t="n"/>
      <c r="B230" s="60" t="n"/>
      <c r="C230" s="61" t="n"/>
      <c r="D230" s="60" t="n"/>
    </row>
    <row r="231">
      <c r="A231" s="60" t="n"/>
      <c r="B231" s="60" t="n"/>
      <c r="C231" s="61" t="n"/>
      <c r="D231" s="60" t="n"/>
    </row>
    <row r="232">
      <c r="A232" s="60" t="n"/>
      <c r="B232" s="60" t="n"/>
      <c r="C232" s="61" t="n"/>
      <c r="D232" s="60" t="n"/>
    </row>
    <row r="233">
      <c r="A233" s="60" t="n"/>
      <c r="B233" s="60" t="n"/>
      <c r="C233" s="61" t="n"/>
      <c r="D233" s="60" t="n"/>
    </row>
    <row r="234">
      <c r="A234" s="60" t="n"/>
      <c r="B234" s="60" t="n"/>
      <c r="C234" s="61" t="n"/>
      <c r="D234" s="60" t="n"/>
    </row>
    <row r="235">
      <c r="A235" s="60" t="n"/>
      <c r="B235" s="60" t="n"/>
      <c r="C235" s="61" t="n"/>
      <c r="D235" s="60" t="n"/>
    </row>
    <row r="236">
      <c r="A236" s="60" t="n"/>
      <c r="B236" s="60" t="n"/>
      <c r="C236" s="61" t="n"/>
      <c r="D236" s="60" t="n"/>
    </row>
    <row r="237">
      <c r="A237" s="60" t="n"/>
      <c r="B237" s="60" t="n"/>
      <c r="C237" s="61" t="n"/>
      <c r="D237" s="60" t="n"/>
    </row>
    <row r="238">
      <c r="A238" s="60" t="n"/>
      <c r="B238" s="60" t="n"/>
      <c r="C238" s="61" t="n"/>
      <c r="D238" s="60" t="n"/>
    </row>
    <row r="239">
      <c r="A239" s="60" t="n"/>
      <c r="B239" s="60" t="n"/>
      <c r="C239" s="61" t="n"/>
      <c r="D239" s="60" t="n"/>
    </row>
    <row r="240">
      <c r="A240" s="60" t="n"/>
      <c r="B240" s="60" t="n"/>
      <c r="C240" s="61" t="n"/>
      <c r="D240" s="60" t="n"/>
    </row>
    <row r="241">
      <c r="A241" s="60" t="n"/>
      <c r="B241" s="60" t="n"/>
      <c r="C241" s="61" t="n"/>
      <c r="D241" s="60" t="n"/>
    </row>
    <row r="242">
      <c r="A242" s="60" t="n"/>
      <c r="B242" s="60" t="n"/>
      <c r="C242" s="61" t="n"/>
      <c r="D242" s="60" t="n"/>
    </row>
    <row r="243">
      <c r="A243" s="60" t="n"/>
      <c r="B243" s="60" t="n"/>
      <c r="C243" s="61" t="n"/>
      <c r="D243" s="60" t="n"/>
    </row>
    <row r="244">
      <c r="A244" s="60" t="n"/>
      <c r="B244" s="60" t="n"/>
      <c r="C244" s="61" t="n"/>
      <c r="D244" s="60" t="n"/>
    </row>
    <row r="245">
      <c r="A245" s="60" t="n"/>
      <c r="B245" s="60" t="n"/>
      <c r="C245" s="61" t="n"/>
      <c r="D245" s="60" t="n"/>
    </row>
    <row r="246">
      <c r="A246" s="60" t="n"/>
      <c r="B246" s="60" t="n"/>
      <c r="C246" s="61" t="n"/>
      <c r="D246" s="60" t="n"/>
    </row>
    <row r="247">
      <c r="A247" s="60" t="n"/>
      <c r="B247" s="60" t="n"/>
      <c r="C247" s="61" t="n"/>
      <c r="D247" s="60" t="n"/>
    </row>
    <row r="248">
      <c r="A248" s="60" t="n"/>
      <c r="B248" s="60" t="n"/>
      <c r="C248" s="61" t="n"/>
      <c r="D248" s="60" t="n"/>
    </row>
    <row r="249">
      <c r="A249" s="60" t="n"/>
      <c r="B249" s="60" t="n"/>
      <c r="C249" s="61" t="n"/>
      <c r="D249" s="60" t="n"/>
    </row>
    <row r="250">
      <c r="A250" s="60" t="n"/>
      <c r="B250" s="60" t="n"/>
      <c r="C250" s="61" t="n"/>
      <c r="D250" s="60" t="n"/>
    </row>
    <row r="251">
      <c r="A251" s="60" t="n"/>
      <c r="B251" s="60" t="n"/>
      <c r="C251" s="61" t="n"/>
      <c r="D251" s="60" t="n"/>
    </row>
    <row r="252">
      <c r="A252" s="60" t="n"/>
      <c r="B252" s="60" t="n"/>
      <c r="C252" s="61" t="n"/>
      <c r="D252" s="60" t="n"/>
    </row>
    <row r="253">
      <c r="A253" s="60" t="n"/>
      <c r="B253" s="60" t="n"/>
      <c r="C253" s="61" t="n"/>
      <c r="D253" s="60" t="n"/>
    </row>
    <row r="254">
      <c r="A254" s="60" t="n"/>
      <c r="B254" s="60" t="n"/>
      <c r="C254" s="61" t="n"/>
      <c r="D254" s="60" t="n"/>
    </row>
    <row r="255">
      <c r="A255" s="60" t="n"/>
      <c r="B255" s="60" t="n"/>
      <c r="C255" s="61" t="n"/>
      <c r="D255" s="60" t="n"/>
    </row>
    <row r="256">
      <c r="A256" s="60" t="n"/>
      <c r="B256" s="60" t="n"/>
      <c r="C256" s="61" t="n"/>
      <c r="D256" s="60" t="n"/>
    </row>
    <row r="257">
      <c r="A257" s="60" t="n"/>
      <c r="B257" s="60" t="n"/>
      <c r="C257" s="61" t="n"/>
      <c r="D257" s="60" t="n"/>
    </row>
    <row r="258">
      <c r="A258" s="60" t="n"/>
      <c r="B258" s="60" t="n"/>
      <c r="C258" s="61" t="n"/>
      <c r="D258" s="60" t="n"/>
    </row>
    <row r="259">
      <c r="A259" s="60" t="n"/>
      <c r="B259" s="60" t="n"/>
      <c r="C259" s="61" t="n"/>
      <c r="D259" s="60" t="n"/>
    </row>
    <row r="260">
      <c r="A260" s="60" t="n"/>
      <c r="B260" s="60" t="n"/>
      <c r="C260" s="61" t="n"/>
      <c r="D260" s="60" t="n"/>
    </row>
    <row r="261">
      <c r="A261" s="60" t="n"/>
      <c r="B261" s="60" t="n"/>
      <c r="C261" s="61" t="n"/>
      <c r="D261" s="60" t="n"/>
    </row>
    <row r="262">
      <c r="A262" s="60" t="n"/>
      <c r="B262" s="60" t="n"/>
      <c r="C262" s="61" t="n"/>
      <c r="D262" s="60" t="n"/>
    </row>
    <row r="263">
      <c r="A263" s="60" t="n"/>
      <c r="B263" s="60" t="n"/>
      <c r="C263" s="61" t="n"/>
      <c r="D263" s="60" t="n"/>
    </row>
    <row r="264">
      <c r="A264" s="60" t="n"/>
      <c r="B264" s="60" t="n"/>
      <c r="C264" s="61" t="n"/>
      <c r="D264" s="60" t="n"/>
    </row>
    <row r="265">
      <c r="A265" s="60" t="n"/>
      <c r="B265" s="60" t="n"/>
      <c r="C265" s="61" t="n"/>
      <c r="D265" s="60" t="n"/>
    </row>
    <row r="266">
      <c r="A266" s="60" t="n"/>
      <c r="B266" s="60" t="n"/>
      <c r="C266" s="61" t="n"/>
      <c r="D266" s="60" t="n"/>
    </row>
    <row r="267">
      <c r="A267" s="60" t="n"/>
      <c r="B267" s="60" t="n"/>
      <c r="C267" s="61" t="n"/>
      <c r="D267" s="60" t="n"/>
    </row>
    <row r="268">
      <c r="A268" s="60" t="n"/>
      <c r="B268" s="60" t="n"/>
      <c r="C268" s="61" t="n"/>
      <c r="D268" s="60" t="n"/>
    </row>
    <row r="269">
      <c r="A269" s="60" t="n"/>
      <c r="B269" s="60" t="n"/>
      <c r="C269" s="61" t="n"/>
      <c r="D269" s="60" t="n"/>
    </row>
    <row r="270">
      <c r="A270" s="60" t="n"/>
      <c r="B270" s="60" t="n"/>
      <c r="C270" s="61" t="n"/>
      <c r="D270" s="60" t="n"/>
    </row>
    <row r="271">
      <c r="A271" s="60" t="n"/>
      <c r="B271" s="60" t="n"/>
      <c r="C271" s="61" t="n"/>
      <c r="D271" s="60" t="n"/>
    </row>
    <row r="272">
      <c r="A272" s="60" t="n"/>
      <c r="B272" s="60" t="n"/>
      <c r="C272" s="61" t="n"/>
      <c r="D272" s="60" t="n"/>
    </row>
    <row r="273">
      <c r="A273" s="60" t="n"/>
      <c r="B273" s="60" t="n"/>
      <c r="C273" s="61" t="n"/>
      <c r="D273" s="60" t="n"/>
    </row>
    <row r="274">
      <c r="A274" s="60" t="n"/>
      <c r="B274" s="60" t="n"/>
      <c r="C274" s="61" t="n"/>
      <c r="D274" s="60" t="n"/>
    </row>
    <row r="275">
      <c r="A275" s="60" t="n"/>
      <c r="B275" s="60" t="n"/>
      <c r="C275" s="61" t="n"/>
      <c r="D275" s="60" t="n"/>
    </row>
    <row r="276">
      <c r="A276" s="60" t="n"/>
      <c r="B276" s="60" t="n"/>
      <c r="C276" s="61" t="n"/>
      <c r="D276" s="60" t="n"/>
    </row>
    <row r="277">
      <c r="A277" s="60" t="n"/>
      <c r="B277" s="60" t="n"/>
      <c r="C277" s="61" t="n"/>
      <c r="D277" s="60" t="n"/>
    </row>
    <row r="278">
      <c r="A278" s="60" t="n"/>
      <c r="B278" s="60" t="n"/>
      <c r="C278" s="61" t="n"/>
      <c r="D278" s="60" t="n"/>
    </row>
    <row r="279">
      <c r="A279" s="60" t="n"/>
      <c r="B279" s="60" t="n"/>
      <c r="C279" s="61" t="n"/>
      <c r="D279" s="60" t="n"/>
    </row>
    <row r="280">
      <c r="A280" s="60" t="n"/>
      <c r="B280" s="60" t="n"/>
      <c r="C280" s="61" t="n"/>
      <c r="D280" s="60" t="n"/>
    </row>
    <row r="281">
      <c r="A281" s="60" t="n"/>
      <c r="B281" s="60" t="n"/>
      <c r="C281" s="61" t="n"/>
      <c r="D281" s="60" t="n"/>
    </row>
    <row r="282">
      <c r="A282" s="60" t="n"/>
      <c r="B282" s="60" t="n"/>
      <c r="C282" s="61" t="n"/>
      <c r="D282" s="60" t="n"/>
    </row>
    <row r="283">
      <c r="A283" s="60" t="n"/>
      <c r="B283" s="60" t="n"/>
      <c r="C283" s="61" t="n"/>
      <c r="D283" s="60" t="n"/>
    </row>
    <row r="284">
      <c r="A284" s="60" t="n"/>
      <c r="B284" s="60" t="n"/>
      <c r="C284" s="61" t="n"/>
      <c r="D284" s="60" t="n"/>
    </row>
    <row r="285">
      <c r="A285" s="60" t="n"/>
      <c r="B285" s="60" t="n"/>
      <c r="C285" s="61" t="n"/>
      <c r="D285" s="60" t="n"/>
    </row>
    <row r="286">
      <c r="A286" s="60" t="n"/>
      <c r="B286" s="60" t="n"/>
      <c r="C286" s="61" t="n"/>
      <c r="D286" s="60" t="n"/>
    </row>
    <row r="287">
      <c r="A287" s="60" t="n"/>
      <c r="B287" s="60" t="n"/>
      <c r="C287" s="61" t="n"/>
      <c r="D287" s="60" t="n"/>
    </row>
    <row r="288">
      <c r="A288" s="60" t="n"/>
      <c r="B288" s="60" t="n"/>
      <c r="C288" s="61" t="n"/>
      <c r="D288" s="60" t="n"/>
    </row>
    <row r="289">
      <c r="A289" s="60" t="n"/>
      <c r="B289" s="60" t="n"/>
      <c r="C289" s="61" t="n"/>
      <c r="D289" s="60" t="n"/>
    </row>
    <row r="290">
      <c r="A290" s="60" t="n"/>
      <c r="B290" s="60" t="n"/>
      <c r="C290" s="61" t="n"/>
      <c r="D290" s="60" t="n"/>
    </row>
    <row r="291">
      <c r="A291" s="60" t="n"/>
      <c r="B291" s="60" t="n"/>
      <c r="C291" s="61" t="n"/>
      <c r="D291" s="60" t="n"/>
    </row>
    <row r="292">
      <c r="A292" s="60" t="n"/>
      <c r="B292" s="60" t="n"/>
      <c r="C292" s="61" t="n"/>
      <c r="D292" s="60" t="n"/>
    </row>
    <row r="293">
      <c r="A293" s="60" t="n"/>
      <c r="B293" s="60" t="n"/>
      <c r="C293" s="61" t="n"/>
      <c r="D293" s="60" t="n"/>
    </row>
    <row r="294">
      <c r="A294" s="60" t="n"/>
      <c r="B294" s="60" t="n"/>
      <c r="C294" s="61" t="n"/>
      <c r="D294" s="60" t="n"/>
    </row>
    <row r="295">
      <c r="A295" s="60" t="n"/>
      <c r="B295" s="60" t="n"/>
      <c r="C295" s="61" t="n"/>
      <c r="D295" s="60" t="n"/>
    </row>
    <row r="296">
      <c r="A296" s="60" t="n"/>
      <c r="B296" s="60" t="n"/>
      <c r="C296" s="61" t="n"/>
      <c r="D296" s="60" t="n"/>
    </row>
    <row r="297">
      <c r="A297" s="60" t="n"/>
      <c r="B297" s="60" t="n"/>
      <c r="C297" s="61" t="n"/>
      <c r="D297" s="60" t="n"/>
    </row>
    <row r="298">
      <c r="A298" s="60" t="n"/>
      <c r="B298" s="60" t="n"/>
      <c r="C298" s="61" t="n"/>
      <c r="D298" s="60" t="n"/>
    </row>
    <row r="299">
      <c r="A299" s="60" t="n"/>
      <c r="B299" s="60" t="n"/>
      <c r="C299" s="61" t="n"/>
      <c r="D299" s="60" t="n"/>
    </row>
    <row r="300">
      <c r="A300" s="60" t="n"/>
      <c r="B300" s="60" t="n"/>
      <c r="C300" s="61" t="n"/>
      <c r="D300" s="60" t="n"/>
    </row>
    <row r="301">
      <c r="A301" s="60" t="n"/>
      <c r="B301" s="60" t="n"/>
      <c r="C301" s="61" t="n"/>
      <c r="D301" s="60" t="n"/>
    </row>
    <row r="302">
      <c r="A302" s="60" t="n"/>
      <c r="B302" s="60" t="n"/>
      <c r="C302" s="61" t="n"/>
      <c r="D302" s="60" t="n"/>
    </row>
    <row r="303">
      <c r="A303" s="60" t="n"/>
      <c r="B303" s="60" t="n"/>
      <c r="C303" s="61" t="n"/>
      <c r="D303" s="60" t="n"/>
    </row>
    <row r="304">
      <c r="A304" s="60" t="n"/>
      <c r="B304" s="60" t="n"/>
      <c r="C304" s="61" t="n"/>
      <c r="D304" s="60" t="n"/>
    </row>
    <row r="305">
      <c r="A305" s="60" t="n"/>
      <c r="B305" s="60" t="n"/>
      <c r="C305" s="61" t="n"/>
      <c r="D305" s="60" t="n"/>
    </row>
    <row r="306">
      <c r="A306" s="60" t="n"/>
      <c r="B306" s="60" t="n"/>
      <c r="C306" s="61" t="n"/>
      <c r="D306" s="60" t="n"/>
    </row>
    <row r="307">
      <c r="A307" s="60" t="n"/>
      <c r="B307" s="60" t="n"/>
      <c r="C307" s="61" t="n"/>
      <c r="D307" s="60" t="n"/>
    </row>
    <row r="308">
      <c r="A308" s="60" t="n"/>
      <c r="B308" s="60" t="n"/>
      <c r="C308" s="61" t="n"/>
      <c r="D308" s="60" t="n"/>
    </row>
    <row r="309">
      <c r="A309" s="60" t="n"/>
      <c r="B309" s="60" t="n"/>
      <c r="C309" s="61" t="n"/>
      <c r="D309" s="60" t="n"/>
    </row>
    <row r="310">
      <c r="A310" s="60" t="n"/>
      <c r="B310" s="60" t="n"/>
      <c r="C310" s="61" t="n"/>
      <c r="D310" s="60" t="n"/>
    </row>
    <row r="311">
      <c r="A311" s="60" t="n"/>
      <c r="B311" s="60" t="n"/>
      <c r="C311" s="61" t="n"/>
      <c r="D311" s="60" t="n"/>
    </row>
    <row r="312">
      <c r="A312" s="60" t="n"/>
      <c r="B312" s="60" t="n"/>
      <c r="C312" s="61" t="n"/>
      <c r="D312" s="60" t="n"/>
    </row>
    <row r="313">
      <c r="A313" s="60" t="n"/>
      <c r="B313" s="60" t="n"/>
      <c r="C313" s="61" t="n"/>
      <c r="D313" s="60" t="n"/>
    </row>
    <row r="314">
      <c r="A314" s="60" t="n"/>
      <c r="B314" s="60" t="n"/>
      <c r="C314" s="61" t="n"/>
      <c r="D314" s="60" t="n"/>
    </row>
    <row r="315">
      <c r="A315" s="60" t="n"/>
      <c r="B315" s="60" t="n"/>
      <c r="C315" s="61" t="n"/>
      <c r="D315" s="60" t="n"/>
    </row>
    <row r="316">
      <c r="A316" s="60" t="n"/>
      <c r="B316" s="60" t="n"/>
      <c r="C316" s="61" t="n"/>
      <c r="D316" s="60" t="n"/>
    </row>
    <row r="317">
      <c r="A317" s="60" t="n"/>
      <c r="B317" s="60" t="n"/>
      <c r="C317" s="61" t="n"/>
      <c r="D317" s="60" t="n"/>
    </row>
    <row r="318">
      <c r="A318" s="60" t="n"/>
      <c r="B318" s="60" t="n"/>
      <c r="C318" s="61" t="n"/>
      <c r="D318" s="60" t="n"/>
    </row>
    <row r="319">
      <c r="A319" s="60" t="n"/>
      <c r="B319" s="60" t="n"/>
      <c r="C319" s="61" t="n"/>
      <c r="D319" s="60" t="n"/>
    </row>
    <row r="320">
      <c r="A320" s="60" t="n"/>
      <c r="B320" s="60" t="n"/>
      <c r="C320" s="61" t="n"/>
      <c r="D320" s="60" t="n"/>
    </row>
    <row r="321">
      <c r="A321" s="60" t="n"/>
      <c r="B321" s="60" t="n"/>
      <c r="C321" s="61" t="n"/>
      <c r="D321" s="60" t="n"/>
    </row>
    <row r="322">
      <c r="A322" s="60" t="n"/>
      <c r="B322" s="60" t="n"/>
      <c r="C322" s="61" t="n"/>
      <c r="D322" s="60" t="n"/>
    </row>
    <row r="323">
      <c r="A323" s="60" t="n"/>
      <c r="B323" s="60" t="n"/>
      <c r="C323" s="61" t="n"/>
      <c r="D323" s="60" t="n"/>
    </row>
    <row r="324">
      <c r="A324" s="60" t="n"/>
      <c r="B324" s="60" t="n"/>
      <c r="C324" s="61" t="n"/>
      <c r="D324" s="60" t="n"/>
    </row>
    <row r="325">
      <c r="A325" s="60" t="n"/>
      <c r="B325" s="60" t="n"/>
      <c r="C325" s="61" t="n"/>
      <c r="D325" s="60" t="n"/>
    </row>
    <row r="326">
      <c r="A326" s="60" t="n"/>
      <c r="B326" s="60" t="n"/>
      <c r="C326" s="61" t="n"/>
      <c r="D326" s="60" t="n"/>
    </row>
    <row r="327">
      <c r="A327" s="60" t="n"/>
      <c r="B327" s="60" t="n"/>
      <c r="C327" s="61" t="n"/>
      <c r="D327" s="60" t="n"/>
    </row>
    <row r="328">
      <c r="A328" s="60" t="n"/>
      <c r="B328" s="60" t="n"/>
      <c r="C328" s="61" t="n"/>
      <c r="D328" s="60" t="n"/>
    </row>
    <row r="329">
      <c r="A329" s="60" t="n"/>
      <c r="B329" s="60" t="n"/>
      <c r="C329" s="61" t="n"/>
      <c r="D329" s="60" t="n"/>
    </row>
    <row r="330">
      <c r="A330" s="60" t="n"/>
      <c r="B330" s="60" t="n"/>
      <c r="C330" s="61" t="n"/>
      <c r="D330" s="60" t="n"/>
    </row>
    <row r="331">
      <c r="A331" s="60" t="n"/>
      <c r="B331" s="60" t="n"/>
      <c r="C331" s="61" t="n"/>
      <c r="D331" s="60" t="n"/>
    </row>
    <row r="332">
      <c r="A332" s="60" t="n"/>
      <c r="B332" s="60" t="n"/>
      <c r="C332" s="61" t="n"/>
      <c r="D332" s="60" t="n"/>
    </row>
    <row r="333">
      <c r="A333" s="60" t="n"/>
      <c r="B333" s="60" t="n"/>
      <c r="C333" s="61" t="n"/>
      <c r="D333" s="60" t="n"/>
    </row>
    <row r="334">
      <c r="A334" s="60" t="n"/>
      <c r="B334" s="60" t="n"/>
      <c r="C334" s="61" t="n"/>
      <c r="D334" s="60" t="n"/>
    </row>
    <row r="335">
      <c r="A335" s="60" t="n"/>
      <c r="B335" s="60" t="n"/>
      <c r="C335" s="61" t="n"/>
      <c r="D335" s="60" t="n"/>
    </row>
    <row r="336">
      <c r="A336" s="60" t="n"/>
      <c r="B336" s="60" t="n"/>
      <c r="C336" s="61" t="n"/>
      <c r="D336" s="60" t="n"/>
    </row>
    <row r="337">
      <c r="A337" s="60" t="n"/>
      <c r="B337" s="60" t="n"/>
      <c r="C337" s="61" t="n"/>
      <c r="D337" s="60" t="n"/>
    </row>
    <row r="338">
      <c r="A338" s="60" t="n"/>
      <c r="B338" s="60" t="n"/>
      <c r="C338" s="61" t="n"/>
      <c r="D338" s="60" t="n"/>
    </row>
    <row r="339">
      <c r="A339" s="60" t="n"/>
      <c r="B339" s="60" t="n"/>
      <c r="C339" s="61" t="n"/>
      <c r="D339" s="60" t="n"/>
    </row>
    <row r="340">
      <c r="A340" s="60" t="n"/>
      <c r="B340" s="60" t="n"/>
      <c r="C340" s="61" t="n"/>
      <c r="D340" s="60" t="n"/>
    </row>
    <row r="341">
      <c r="A341" s="60" t="n"/>
      <c r="B341" s="60" t="n"/>
      <c r="C341" s="61" t="n"/>
      <c r="D341" s="60" t="n"/>
    </row>
    <row r="342">
      <c r="A342" s="60" t="n"/>
      <c r="B342" s="60" t="n"/>
      <c r="C342" s="61" t="n"/>
      <c r="D342" s="60" t="n"/>
    </row>
    <row r="343">
      <c r="A343" s="60" t="n"/>
      <c r="B343" s="60" t="n"/>
      <c r="C343" s="61" t="n"/>
      <c r="D343" s="60" t="n"/>
    </row>
    <row r="344">
      <c r="A344" s="60" t="n"/>
      <c r="B344" s="60" t="n"/>
      <c r="C344" s="61" t="n"/>
      <c r="D344" s="60" t="n"/>
    </row>
    <row r="345">
      <c r="A345" s="60" t="n"/>
      <c r="B345" s="60" t="n"/>
      <c r="C345" s="61" t="n"/>
      <c r="D345" s="60" t="n"/>
    </row>
    <row r="346">
      <c r="A346" s="60" t="n"/>
      <c r="B346" s="60" t="n"/>
      <c r="C346" s="61" t="n"/>
      <c r="D346" s="60" t="n"/>
    </row>
    <row r="347">
      <c r="A347" s="60" t="n"/>
      <c r="B347" s="60" t="n"/>
      <c r="C347" s="61" t="n"/>
      <c r="D347" s="60" t="n"/>
    </row>
    <row r="348">
      <c r="A348" s="60" t="n"/>
      <c r="B348" s="60" t="n"/>
      <c r="C348" s="61" t="n"/>
      <c r="D348" s="60" t="n"/>
    </row>
    <row r="349">
      <c r="A349" s="60" t="n"/>
      <c r="B349" s="60" t="n"/>
      <c r="C349" s="61" t="n"/>
      <c r="D349" s="60" t="n"/>
    </row>
    <row r="350">
      <c r="A350" s="60" t="n"/>
      <c r="B350" s="60" t="n"/>
      <c r="C350" s="61" t="n"/>
      <c r="D350" s="60" t="n"/>
    </row>
    <row r="351">
      <c r="A351" s="60" t="n"/>
      <c r="B351" s="60" t="n"/>
      <c r="C351" s="61" t="n"/>
      <c r="D351" s="60" t="n"/>
    </row>
    <row r="352">
      <c r="A352" s="60" t="n"/>
      <c r="B352" s="60" t="n"/>
      <c r="C352" s="61" t="n"/>
      <c r="D352" s="60" t="n"/>
    </row>
    <row r="353">
      <c r="A353" s="60" t="n"/>
      <c r="B353" s="60" t="n"/>
      <c r="C353" s="61" t="n"/>
      <c r="D353" s="60" t="n"/>
    </row>
    <row r="354">
      <c r="A354" s="60" t="n"/>
      <c r="B354" s="60" t="n"/>
      <c r="C354" s="61" t="n"/>
      <c r="D354" s="60" t="n"/>
    </row>
    <row r="355">
      <c r="A355" s="60" t="n"/>
      <c r="B355" s="60" t="n"/>
      <c r="C355" s="61" t="n"/>
      <c r="D355" s="60" t="n"/>
    </row>
    <row r="356">
      <c r="A356" s="60" t="n"/>
      <c r="B356" s="60" t="n"/>
      <c r="C356" s="61" t="n"/>
      <c r="D356" s="60" t="n"/>
    </row>
    <row r="357">
      <c r="A357" s="60" t="n"/>
      <c r="B357" s="60" t="n"/>
      <c r="C357" s="61" t="n"/>
      <c r="D357" s="60" t="n"/>
    </row>
    <row r="358">
      <c r="A358" s="60" t="n"/>
      <c r="B358" s="60" t="n"/>
      <c r="C358" s="61" t="n"/>
      <c r="D358" s="60" t="n"/>
    </row>
    <row r="359">
      <c r="A359" s="60" t="n"/>
      <c r="B359" s="60" t="n"/>
      <c r="C359" s="61" t="n"/>
      <c r="D359" s="60" t="n"/>
    </row>
    <row r="360">
      <c r="A360" s="60" t="n"/>
      <c r="B360" s="60" t="n"/>
      <c r="C360" s="61" t="n"/>
      <c r="D360" s="60" t="n"/>
    </row>
    <row r="361">
      <c r="A361" s="60" t="n"/>
      <c r="B361" s="60" t="n"/>
      <c r="C361" s="61" t="n"/>
      <c r="D361" s="60" t="n"/>
    </row>
    <row r="362">
      <c r="A362" s="60" t="n"/>
      <c r="B362" s="60" t="n"/>
      <c r="C362" s="61" t="n"/>
      <c r="D362" s="60" t="n"/>
    </row>
    <row r="363">
      <c r="A363" s="60" t="n"/>
      <c r="B363" s="60" t="n"/>
      <c r="C363" s="61" t="n"/>
      <c r="D363" s="60" t="n"/>
    </row>
    <row r="364">
      <c r="A364" s="60" t="n"/>
      <c r="B364" s="60" t="n"/>
      <c r="C364" s="61" t="n"/>
      <c r="D364" s="60" t="n"/>
    </row>
    <row r="365">
      <c r="A365" s="60" t="n"/>
      <c r="B365" s="60" t="n"/>
      <c r="C365" s="61" t="n"/>
      <c r="D365" s="60" t="n"/>
    </row>
    <row r="366">
      <c r="A366" s="60" t="n"/>
      <c r="B366" s="60" t="n"/>
      <c r="C366" s="61" t="n"/>
      <c r="D366" s="60" t="n"/>
    </row>
    <row r="367">
      <c r="A367" s="60" t="n"/>
      <c r="B367" s="60" t="n"/>
      <c r="C367" s="61" t="n"/>
      <c r="D367" s="60" t="n"/>
    </row>
    <row r="368">
      <c r="A368" s="60" t="n"/>
      <c r="B368" s="60" t="n"/>
      <c r="C368" s="61" t="n"/>
      <c r="D368" s="60" t="n"/>
    </row>
    <row r="369">
      <c r="A369" s="60" t="n"/>
      <c r="B369" s="60" t="n"/>
      <c r="C369" s="61" t="n"/>
      <c r="D369" s="60" t="n"/>
    </row>
    <row r="370">
      <c r="A370" s="60" t="n"/>
      <c r="B370" s="60" t="n"/>
      <c r="C370" s="61" t="n"/>
      <c r="D370" s="60" t="n"/>
    </row>
    <row r="371">
      <c r="A371" s="60" t="n"/>
      <c r="B371" s="60" t="n"/>
      <c r="C371" s="61" t="n"/>
      <c r="D371" s="60" t="n"/>
    </row>
    <row r="372">
      <c r="A372" s="60" t="n"/>
      <c r="B372" s="60" t="n"/>
      <c r="C372" s="61" t="n"/>
      <c r="D372" s="60" t="n"/>
    </row>
    <row r="373">
      <c r="A373" s="60" t="n"/>
      <c r="B373" s="60" t="n"/>
      <c r="C373" s="61" t="n"/>
      <c r="D373" s="60" t="n"/>
    </row>
    <row r="374">
      <c r="A374" s="60" t="n"/>
      <c r="B374" s="60" t="n"/>
      <c r="C374" s="61" t="n"/>
      <c r="D374" s="60" t="n"/>
    </row>
    <row r="375">
      <c r="A375" s="60" t="n"/>
      <c r="B375" s="60" t="n"/>
      <c r="C375" s="61" t="n"/>
      <c r="D375" s="60" t="n"/>
    </row>
    <row r="376">
      <c r="A376" s="60" t="n"/>
      <c r="B376" s="60" t="n"/>
      <c r="C376" s="61" t="n"/>
      <c r="D376" s="60" t="n"/>
    </row>
    <row r="377">
      <c r="A377" s="60" t="n"/>
      <c r="B377" s="60" t="n"/>
      <c r="C377" s="61" t="n"/>
      <c r="D377" s="60" t="n"/>
    </row>
    <row r="378">
      <c r="A378" s="60" t="n"/>
      <c r="B378" s="60" t="n"/>
      <c r="C378" s="61" t="n"/>
      <c r="D378" s="60" t="n"/>
    </row>
    <row r="379">
      <c r="A379" s="60" t="n"/>
      <c r="B379" s="60" t="n"/>
      <c r="C379" s="61" t="n"/>
      <c r="D379" s="60" t="n"/>
    </row>
    <row r="380">
      <c r="A380" s="60" t="n"/>
      <c r="B380" s="60" t="n"/>
      <c r="C380" s="61" t="n"/>
      <c r="D380" s="60" t="n"/>
    </row>
    <row r="381">
      <c r="A381" s="60" t="n"/>
      <c r="B381" s="60" t="n"/>
      <c r="C381" s="61" t="n"/>
      <c r="D381" s="60" t="n"/>
    </row>
    <row r="382">
      <c r="A382" s="60" t="n"/>
      <c r="B382" s="60" t="n"/>
      <c r="C382" s="61" t="n"/>
      <c r="D382" s="60" t="n"/>
    </row>
    <row r="383">
      <c r="A383" s="60" t="n"/>
      <c r="B383" s="60" t="n"/>
      <c r="C383" s="61" t="n"/>
      <c r="D383" s="60" t="n"/>
    </row>
    <row r="384">
      <c r="A384" s="60" t="n"/>
      <c r="B384" s="60" t="n"/>
      <c r="C384" s="61" t="n"/>
      <c r="D384" s="60" t="n"/>
    </row>
    <row r="385">
      <c r="A385" s="60" t="n"/>
      <c r="B385" s="60" t="n"/>
      <c r="C385" s="61" t="n"/>
      <c r="D385" s="60" t="n"/>
    </row>
    <row r="386">
      <c r="A386" s="60" t="n"/>
      <c r="B386" s="60" t="n"/>
      <c r="C386" s="61" t="n"/>
      <c r="D386" s="60" t="n"/>
    </row>
    <row r="387">
      <c r="A387" s="60" t="n"/>
      <c r="B387" s="60" t="n"/>
      <c r="C387" s="61" t="n"/>
      <c r="D387" s="60" t="n"/>
    </row>
    <row r="388">
      <c r="A388" s="60" t="n"/>
      <c r="B388" s="60" t="n"/>
      <c r="C388" s="61" t="n"/>
      <c r="D388" s="60" t="n"/>
    </row>
    <row r="389">
      <c r="A389" s="60" t="n"/>
      <c r="B389" s="60" t="n"/>
      <c r="C389" s="61" t="n"/>
      <c r="D389" s="60" t="n"/>
    </row>
    <row r="390">
      <c r="A390" s="60" t="n"/>
      <c r="B390" s="60" t="n"/>
      <c r="C390" s="61" t="n"/>
      <c r="D390" s="60" t="n"/>
    </row>
    <row r="391">
      <c r="A391" s="60" t="n"/>
      <c r="B391" s="60" t="n"/>
      <c r="C391" s="61" t="n"/>
      <c r="D391" s="60" t="n"/>
    </row>
    <row r="392">
      <c r="A392" s="60" t="n"/>
      <c r="B392" s="60" t="n"/>
      <c r="C392" s="61" t="n"/>
      <c r="D392" s="60" t="n"/>
    </row>
    <row r="393">
      <c r="A393" s="60" t="n"/>
      <c r="B393" s="60" t="n"/>
      <c r="C393" s="61" t="n"/>
      <c r="D393" s="60" t="n"/>
    </row>
    <row r="394">
      <c r="A394" s="60" t="n"/>
      <c r="B394" s="60" t="n"/>
      <c r="C394" s="61" t="n"/>
      <c r="D394" s="60" t="n"/>
    </row>
    <row r="395">
      <c r="A395" s="60" t="n"/>
      <c r="B395" s="60" t="n"/>
      <c r="C395" s="61" t="n"/>
      <c r="D395" s="60" t="n"/>
    </row>
    <row r="396">
      <c r="A396" s="60" t="n"/>
      <c r="B396" s="60" t="n"/>
      <c r="C396" s="61" t="n"/>
      <c r="D396" s="60" t="n"/>
    </row>
    <row r="397">
      <c r="A397" s="60" t="n"/>
      <c r="B397" s="60" t="n"/>
      <c r="C397" s="61" t="n"/>
      <c r="D397" s="60" t="n"/>
    </row>
    <row r="398">
      <c r="A398" s="60" t="n"/>
      <c r="B398" s="60" t="n"/>
      <c r="C398" s="61" t="n"/>
      <c r="D398" s="60" t="n"/>
    </row>
    <row r="399">
      <c r="A399" s="60" t="n"/>
      <c r="B399" s="60" t="n"/>
      <c r="C399" s="61" t="n"/>
      <c r="D399" s="60" t="n"/>
    </row>
    <row r="400">
      <c r="A400" s="60" t="n"/>
      <c r="B400" s="60" t="n"/>
      <c r="C400" s="61" t="n"/>
      <c r="D400" s="60" t="n"/>
    </row>
    <row r="401">
      <c r="A401" s="60" t="n"/>
      <c r="B401" s="60" t="n"/>
      <c r="C401" s="61" t="n"/>
      <c r="D401" s="60" t="n"/>
    </row>
    <row r="402">
      <c r="A402" s="60" t="n"/>
      <c r="B402" s="60" t="n"/>
      <c r="C402" s="61" t="n"/>
      <c r="D402" s="60" t="n"/>
    </row>
    <row r="403">
      <c r="A403" s="60" t="n"/>
      <c r="B403" s="60" t="n"/>
      <c r="C403" s="61" t="n"/>
      <c r="D403" s="60" t="n"/>
    </row>
    <row r="404">
      <c r="A404" s="60" t="n"/>
      <c r="B404" s="60" t="n"/>
      <c r="C404" s="61" t="n"/>
      <c r="D404" s="60" t="n"/>
    </row>
    <row r="405">
      <c r="A405" s="60" t="n"/>
      <c r="B405" s="60" t="n"/>
      <c r="C405" s="61" t="n"/>
      <c r="D405" s="60" t="n"/>
    </row>
    <row r="406">
      <c r="A406" s="60" t="n"/>
      <c r="B406" s="60" t="n"/>
      <c r="C406" s="61" t="n"/>
      <c r="D406" s="60" t="n"/>
    </row>
    <row r="407">
      <c r="A407" s="60" t="n"/>
      <c r="B407" s="60" t="n"/>
      <c r="C407" s="61" t="n"/>
      <c r="D407" s="60" t="n"/>
    </row>
    <row r="408">
      <c r="A408" s="60" t="n"/>
      <c r="B408" s="60" t="n"/>
      <c r="C408" s="61" t="n"/>
      <c r="D408" s="60" t="n"/>
    </row>
    <row r="409">
      <c r="A409" s="60" t="n"/>
      <c r="B409" s="60" t="n"/>
      <c r="C409" s="61" t="n"/>
      <c r="D409" s="60" t="n"/>
    </row>
    <row r="410">
      <c r="A410" s="60" t="n"/>
      <c r="B410" s="60" t="n"/>
      <c r="C410" s="61" t="n"/>
      <c r="D410" s="60" t="n"/>
    </row>
    <row r="411">
      <c r="A411" s="60" t="n"/>
      <c r="B411" s="60" t="n"/>
      <c r="C411" s="61" t="n"/>
      <c r="D411" s="60" t="n"/>
    </row>
    <row r="412">
      <c r="A412" s="60" t="n"/>
      <c r="B412" s="60" t="n"/>
      <c r="C412" s="61" t="n"/>
      <c r="D412" s="60" t="n"/>
    </row>
    <row r="413">
      <c r="A413" s="60" t="n"/>
      <c r="B413" s="60" t="n"/>
      <c r="C413" s="61" t="n"/>
      <c r="D413" s="60" t="n"/>
    </row>
    <row r="414">
      <c r="A414" s="60" t="n"/>
      <c r="B414" s="60" t="n"/>
      <c r="C414" s="61" t="n"/>
      <c r="D414" s="60" t="n"/>
    </row>
    <row r="415">
      <c r="A415" s="60" t="n"/>
      <c r="B415" s="60" t="n"/>
      <c r="C415" s="61" t="n"/>
      <c r="D415" s="60" t="n"/>
    </row>
    <row r="416">
      <c r="A416" s="60" t="n"/>
      <c r="B416" s="60" t="n"/>
      <c r="C416" s="61" t="n"/>
      <c r="D416" s="60" t="n"/>
    </row>
    <row r="417">
      <c r="A417" s="60" t="n"/>
      <c r="B417" s="60" t="n"/>
      <c r="C417" s="61" t="n"/>
      <c r="D417" s="60" t="n"/>
    </row>
    <row r="418">
      <c r="A418" s="60" t="n"/>
      <c r="B418" s="60" t="n"/>
      <c r="C418" s="61" t="n"/>
      <c r="D418" s="60" t="n"/>
    </row>
    <row r="419">
      <c r="A419" s="60" t="n"/>
      <c r="B419" s="60" t="n"/>
      <c r="C419" s="61" t="n"/>
      <c r="D419" s="60" t="n"/>
    </row>
    <row r="420">
      <c r="A420" s="60" t="n"/>
      <c r="B420" s="60" t="n"/>
      <c r="C420" s="61" t="n"/>
      <c r="D420" s="60" t="n"/>
    </row>
    <row r="421">
      <c r="A421" s="60" t="n"/>
      <c r="B421" s="60" t="n"/>
      <c r="C421" s="61" t="n"/>
      <c r="D421" s="60" t="n"/>
    </row>
    <row r="422">
      <c r="A422" s="60" t="n"/>
      <c r="B422" s="60" t="n"/>
      <c r="C422" s="61" t="n"/>
      <c r="D422" s="60" t="n"/>
    </row>
    <row r="423">
      <c r="A423" s="60" t="n"/>
      <c r="B423" s="60" t="n"/>
      <c r="C423" s="61" t="n"/>
      <c r="D423" s="60" t="n"/>
    </row>
    <row r="424">
      <c r="A424" s="60" t="n"/>
      <c r="B424" s="60" t="n"/>
      <c r="C424" s="61" t="n"/>
      <c r="D424" s="60" t="n"/>
    </row>
    <row r="425">
      <c r="A425" s="60" t="n"/>
      <c r="B425" s="60" t="n"/>
      <c r="C425" s="61" t="n"/>
      <c r="D425" s="60" t="n"/>
    </row>
    <row r="426">
      <c r="A426" s="60" t="n"/>
      <c r="B426" s="60" t="n"/>
      <c r="C426" s="61" t="n"/>
      <c r="D426" s="60" t="n"/>
    </row>
    <row r="427">
      <c r="A427" s="60" t="n"/>
      <c r="B427" s="60" t="n"/>
      <c r="C427" s="61" t="n"/>
      <c r="D427" s="60" t="n"/>
    </row>
    <row r="428">
      <c r="A428" s="60" t="n"/>
      <c r="B428" s="60" t="n"/>
      <c r="C428" s="61" t="n"/>
      <c r="D428" s="60" t="n"/>
    </row>
    <row r="429">
      <c r="A429" s="60" t="n"/>
      <c r="B429" s="60" t="n"/>
      <c r="C429" s="61" t="n"/>
      <c r="D429" s="60" t="n"/>
    </row>
    <row r="430">
      <c r="A430" s="60" t="n"/>
      <c r="B430" s="60" t="n"/>
      <c r="C430" s="61" t="n"/>
      <c r="D430" s="60" t="n"/>
    </row>
    <row r="431">
      <c r="A431" s="60" t="n"/>
      <c r="B431" s="60" t="n"/>
      <c r="C431" s="61" t="n"/>
      <c r="D431" s="60" t="n"/>
    </row>
    <row r="432">
      <c r="A432" s="60" t="n"/>
      <c r="B432" s="60" t="n"/>
      <c r="C432" s="61" t="n"/>
      <c r="D432" s="60" t="n"/>
    </row>
    <row r="433">
      <c r="A433" s="60" t="n"/>
      <c r="B433" s="60" t="n"/>
      <c r="C433" s="61" t="n"/>
      <c r="D433" s="60" t="n"/>
    </row>
    <row r="434">
      <c r="A434" s="60" t="n"/>
      <c r="B434" s="60" t="n"/>
      <c r="C434" s="61" t="n"/>
      <c r="D434" s="60" t="n"/>
    </row>
    <row r="435">
      <c r="A435" s="60" t="n"/>
      <c r="B435" s="60" t="n"/>
      <c r="C435" s="61" t="n"/>
      <c r="D435" s="60" t="n"/>
    </row>
    <row r="436">
      <c r="A436" s="60" t="n"/>
      <c r="B436" s="60" t="n"/>
      <c r="C436" s="61" t="n"/>
      <c r="D436" s="60" t="n"/>
    </row>
    <row r="437">
      <c r="A437" s="60" t="n"/>
      <c r="B437" s="60" t="n"/>
      <c r="C437" s="61" t="n"/>
      <c r="D437" s="60" t="n"/>
    </row>
    <row r="438">
      <c r="A438" s="60" t="n"/>
      <c r="B438" s="60" t="n"/>
      <c r="C438" s="61" t="n"/>
      <c r="D438" s="60" t="n"/>
    </row>
    <row r="439">
      <c r="A439" s="60" t="n"/>
      <c r="B439" s="60" t="n"/>
      <c r="C439" s="61" t="n"/>
      <c r="D439" s="60" t="n"/>
    </row>
    <row r="440">
      <c r="A440" s="60" t="n"/>
      <c r="B440" s="60" t="n"/>
      <c r="C440" s="61" t="n"/>
      <c r="D440" s="60" t="n"/>
    </row>
    <row r="441">
      <c r="A441" s="60" t="n"/>
      <c r="B441" s="60" t="n"/>
      <c r="C441" s="61" t="n"/>
      <c r="D441" s="60" t="n"/>
    </row>
    <row r="442">
      <c r="A442" s="60" t="n"/>
      <c r="B442" s="60" t="n"/>
      <c r="C442" s="61" t="n"/>
      <c r="D442" s="60" t="n"/>
    </row>
    <row r="443">
      <c r="A443" s="60" t="n"/>
      <c r="B443" s="60" t="n"/>
      <c r="C443" s="61" t="n"/>
      <c r="D443" s="60" t="n"/>
    </row>
    <row r="444">
      <c r="A444" s="60" t="n"/>
      <c r="B444" s="60" t="n"/>
      <c r="C444" s="61" t="n"/>
      <c r="D444" s="60" t="n"/>
    </row>
    <row r="445">
      <c r="A445" s="60" t="n"/>
      <c r="B445" s="60" t="n"/>
      <c r="C445" s="61" t="n"/>
      <c r="D445" s="60" t="n"/>
    </row>
    <row r="446">
      <c r="A446" s="60" t="n"/>
      <c r="B446" s="60" t="n"/>
      <c r="C446" s="61" t="n"/>
      <c r="D446" s="60" t="n"/>
    </row>
    <row r="447">
      <c r="A447" s="60" t="n"/>
      <c r="B447" s="60" t="n"/>
      <c r="C447" s="61" t="n"/>
      <c r="D447" s="60" t="n"/>
    </row>
    <row r="448">
      <c r="A448" s="60" t="n"/>
      <c r="B448" s="60" t="n"/>
      <c r="C448" s="61" t="n"/>
      <c r="D448" s="60" t="n"/>
    </row>
    <row r="449">
      <c r="A449" s="60" t="n"/>
      <c r="B449" s="60" t="n"/>
      <c r="C449" s="61" t="n"/>
      <c r="D449" s="60" t="n"/>
    </row>
    <row r="450">
      <c r="A450" s="60" t="n"/>
      <c r="B450" s="60" t="n"/>
      <c r="C450" s="61" t="n"/>
      <c r="D450" s="60" t="n"/>
    </row>
    <row r="451">
      <c r="A451" s="60" t="n"/>
      <c r="B451" s="60" t="n"/>
      <c r="C451" s="61" t="n"/>
      <c r="D451" s="60" t="n"/>
    </row>
    <row r="452">
      <c r="A452" s="60" t="n"/>
      <c r="B452" s="60" t="n"/>
      <c r="C452" s="61" t="n"/>
      <c r="D452" s="60" t="n"/>
    </row>
    <row r="453">
      <c r="A453" s="60" t="n"/>
      <c r="B453" s="60" t="n"/>
      <c r="C453" s="61" t="n"/>
      <c r="D453" s="60" t="n"/>
    </row>
    <row r="454">
      <c r="A454" s="60" t="n"/>
      <c r="B454" s="60" t="n"/>
      <c r="C454" s="61" t="n"/>
      <c r="D454" s="60" t="n"/>
    </row>
    <row r="455">
      <c r="A455" s="60" t="n"/>
      <c r="B455" s="60" t="n"/>
      <c r="C455" s="61" t="n"/>
      <c r="D455" s="60" t="n"/>
    </row>
    <row r="456">
      <c r="A456" s="60" t="n"/>
      <c r="B456" s="60" t="n"/>
      <c r="C456" s="61" t="n"/>
      <c r="D456" s="60" t="n"/>
    </row>
    <row r="457">
      <c r="A457" s="60" t="n"/>
      <c r="B457" s="60" t="n"/>
      <c r="C457" s="61" t="n"/>
      <c r="D457" s="60" t="n"/>
    </row>
    <row r="458">
      <c r="A458" s="60" t="n"/>
      <c r="B458" s="60" t="n"/>
      <c r="C458" s="61" t="n"/>
      <c r="D458" s="60" t="n"/>
    </row>
    <row r="459">
      <c r="A459" s="60" t="n"/>
      <c r="B459" s="60" t="n"/>
      <c r="C459" s="61" t="n"/>
      <c r="D459" s="60" t="n"/>
    </row>
    <row r="460">
      <c r="A460" s="60" t="n"/>
      <c r="B460" s="60" t="n"/>
      <c r="C460" s="61" t="n"/>
      <c r="D460" s="60" t="n"/>
    </row>
    <row r="461">
      <c r="A461" s="60" t="n"/>
      <c r="B461" s="60" t="n"/>
      <c r="C461" s="61" t="n"/>
      <c r="D461" s="60" t="n"/>
    </row>
    <row r="462">
      <c r="A462" s="60" t="n"/>
      <c r="B462" s="60" t="n"/>
      <c r="C462" s="61" t="n"/>
      <c r="D462" s="60" t="n"/>
    </row>
    <row r="463">
      <c r="A463" s="60" t="n"/>
      <c r="B463" s="60" t="n"/>
      <c r="C463" s="61" t="n"/>
      <c r="D463" s="60" t="n"/>
    </row>
    <row r="464">
      <c r="A464" s="60" t="n"/>
      <c r="B464" s="60" t="n"/>
      <c r="C464" s="61" t="n"/>
      <c r="D464" s="60" t="n"/>
    </row>
    <row r="465">
      <c r="A465" s="60" t="n"/>
      <c r="B465" s="60" t="n"/>
      <c r="C465" s="61" t="n"/>
      <c r="D465" s="60" t="n"/>
    </row>
    <row r="466">
      <c r="A466" s="60" t="n"/>
      <c r="B466" s="60" t="n"/>
      <c r="C466" s="61" t="n"/>
      <c r="D466" s="60" t="n"/>
    </row>
    <row r="467">
      <c r="A467" s="60" t="n"/>
      <c r="B467" s="60" t="n"/>
      <c r="C467" s="61" t="n"/>
      <c r="D467" s="60" t="n"/>
    </row>
    <row r="468">
      <c r="A468" s="60" t="n"/>
      <c r="B468" s="60" t="n"/>
      <c r="C468" s="61" t="n"/>
      <c r="D468" s="60" t="n"/>
    </row>
    <row r="469">
      <c r="A469" s="60" t="n"/>
      <c r="B469" s="60" t="n"/>
      <c r="C469" s="61" t="n"/>
      <c r="D469" s="60" t="n"/>
    </row>
    <row r="470">
      <c r="A470" s="60" t="n"/>
      <c r="B470" s="60" t="n"/>
      <c r="C470" s="61" t="n"/>
      <c r="D470" s="60" t="n"/>
    </row>
    <row r="471">
      <c r="A471" s="60" t="n"/>
      <c r="B471" s="60" t="n"/>
      <c r="C471" s="61" t="n"/>
      <c r="D471" s="60" t="n"/>
    </row>
    <row r="472">
      <c r="A472" s="60" t="n"/>
      <c r="B472" s="60" t="n"/>
      <c r="C472" s="61" t="n"/>
      <c r="D472" s="60" t="n"/>
    </row>
    <row r="473">
      <c r="A473" s="60" t="n"/>
      <c r="B473" s="60" t="n"/>
      <c r="C473" s="61" t="n"/>
      <c r="D473" s="60" t="n"/>
    </row>
    <row r="474">
      <c r="A474" s="60" t="n"/>
      <c r="B474" s="60" t="n"/>
      <c r="C474" s="61" t="n"/>
      <c r="D474" s="60" t="n"/>
    </row>
    <row r="475">
      <c r="A475" s="60" t="n"/>
      <c r="B475" s="60" t="n"/>
      <c r="C475" s="61" t="n"/>
      <c r="D475" s="60" t="n"/>
    </row>
    <row r="476">
      <c r="A476" s="60" t="n"/>
      <c r="B476" s="60" t="n"/>
      <c r="C476" s="61" t="n"/>
      <c r="D476" s="60" t="n"/>
    </row>
    <row r="477">
      <c r="A477" s="60" t="n"/>
      <c r="B477" s="60" t="n"/>
      <c r="C477" s="61" t="n"/>
      <c r="D477" s="60" t="n"/>
    </row>
    <row r="478">
      <c r="A478" s="60" t="n"/>
      <c r="B478" s="60" t="n"/>
      <c r="C478" s="61" t="n"/>
      <c r="D478" s="60" t="n"/>
    </row>
    <row r="479">
      <c r="A479" s="60" t="n"/>
      <c r="B479" s="60" t="n"/>
      <c r="C479" s="61" t="n"/>
      <c r="D479" s="60" t="n"/>
    </row>
    <row r="480">
      <c r="A480" s="60" t="n"/>
      <c r="B480" s="60" t="n"/>
      <c r="C480" s="61" t="n"/>
      <c r="D480" s="60" t="n"/>
    </row>
    <row r="481">
      <c r="A481" s="60" t="n"/>
      <c r="B481" s="60" t="n"/>
      <c r="C481" s="61" t="n"/>
      <c r="D481" s="60" t="n"/>
    </row>
    <row r="482">
      <c r="A482" s="60" t="n"/>
      <c r="B482" s="60" t="n"/>
      <c r="C482" s="61" t="n"/>
      <c r="D482" s="60" t="n"/>
    </row>
    <row r="483">
      <c r="A483" s="60" t="n"/>
      <c r="B483" s="60" t="n"/>
      <c r="C483" s="61" t="n"/>
      <c r="D483" s="60" t="n"/>
    </row>
    <row r="484">
      <c r="A484" s="60" t="n"/>
      <c r="B484" s="60" t="n"/>
      <c r="C484" s="61" t="n"/>
      <c r="D484" s="60" t="n"/>
    </row>
    <row r="485">
      <c r="A485" s="60" t="n"/>
      <c r="B485" s="60" t="n"/>
      <c r="C485" s="61" t="n"/>
      <c r="D485" s="60" t="n"/>
    </row>
    <row r="486">
      <c r="A486" s="60" t="n"/>
      <c r="B486" s="60" t="n"/>
      <c r="C486" s="61" t="n"/>
      <c r="D486" s="60" t="n"/>
    </row>
    <row r="487">
      <c r="A487" s="60" t="n"/>
      <c r="B487" s="60" t="n"/>
      <c r="C487" s="61" t="n"/>
      <c r="D487" s="60" t="n"/>
    </row>
    <row r="488">
      <c r="A488" s="60" t="n"/>
      <c r="B488" s="60" t="n"/>
      <c r="C488" s="61" t="n"/>
      <c r="D488" s="60" t="n"/>
    </row>
    <row r="489">
      <c r="A489" s="60" t="n"/>
      <c r="B489" s="60" t="n"/>
      <c r="C489" s="61" t="n"/>
      <c r="D489" s="60" t="n"/>
    </row>
    <row r="490">
      <c r="A490" s="60" t="n"/>
      <c r="B490" s="60" t="n"/>
      <c r="C490" s="61" t="n"/>
      <c r="D490" s="60" t="n"/>
    </row>
    <row r="491">
      <c r="A491" s="60" t="n"/>
      <c r="B491" s="60" t="n"/>
      <c r="C491" s="61" t="n"/>
      <c r="D491" s="60" t="n"/>
    </row>
    <row r="492">
      <c r="A492" s="60" t="n"/>
      <c r="B492" s="60" t="n"/>
      <c r="C492" s="61" t="n"/>
      <c r="D492" s="60" t="n"/>
    </row>
    <row r="493">
      <c r="A493" s="60" t="n"/>
      <c r="B493" s="60" t="n"/>
      <c r="C493" s="61" t="n"/>
      <c r="D493" s="60" t="n"/>
    </row>
    <row r="494">
      <c r="A494" s="60" t="n"/>
      <c r="B494" s="60" t="n"/>
      <c r="C494" s="61" t="n"/>
      <c r="D494" s="60" t="n"/>
    </row>
    <row r="495">
      <c r="A495" s="60" t="n"/>
      <c r="B495" s="60" t="n"/>
      <c r="C495" s="61" t="n"/>
      <c r="D495" s="60" t="n"/>
    </row>
    <row r="496">
      <c r="A496" s="60" t="n"/>
      <c r="B496" s="60" t="n"/>
      <c r="C496" s="61" t="n"/>
      <c r="D496" s="60" t="n"/>
    </row>
    <row r="497">
      <c r="A497" s="60" t="n"/>
      <c r="B497" s="60" t="n"/>
      <c r="C497" s="61" t="n"/>
      <c r="D497" s="60" t="n"/>
    </row>
    <row r="498">
      <c r="A498" s="60" t="n"/>
      <c r="B498" s="60" t="n"/>
      <c r="C498" s="61" t="n"/>
      <c r="D498" s="60" t="n"/>
    </row>
  </sheetData>
  <mergeCells count="2">
    <mergeCell ref="A1:D1"/>
    <mergeCell ref="F1:G1"/>
  </mergeCells>
  <pageMargins bottom="0.75" footer="0.3" header="0.3" left="0.7" right="0.7" top="0.75"/>
  <drawing r:id="rId1"/>
  <tableParts count="2">
    <tablePart r:id="rId2"/>
    <tablePart r:id="rId3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5">
    <tabColor rgb="FFFFFF00"/>
    <outlinePr summaryBelow="1" summaryRight="1"/>
    <pageSetUpPr/>
  </sheetPr>
  <dimension ref="A1:E21"/>
  <sheetViews>
    <sheetView workbookViewId="0" zoomScaleNormal="100">
      <selection activeCell="G8" sqref="G8"/>
    </sheetView>
  </sheetViews>
  <sheetFormatPr baseColWidth="8" defaultRowHeight="15"/>
  <cols>
    <col customWidth="1" max="1" min="1" style="70" width="25.140625"/>
    <col customWidth="1" max="5" min="2" style="70" width="20"/>
  </cols>
  <sheetData>
    <row customHeight="1" ht="45" r="1" s="70">
      <c r="A1" s="79" t="inlineStr">
        <is>
          <t>School of Chemical and Bio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VLOOKUP(6111,ChemicalReport!F3:G13,2,FALSE)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VLOOKUP(6113,ChemicalReport!F3:G13,2,FALSE)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VLOOKUP(6121,ChemicalReport!F3:G13,2,FALSE)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VLOOKUP(6211,ChemicalReport!F3:G13,2,FALSE)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VLOOKUP(6212,ChemicalReport!F3:G13,2,FALSE)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VLOOKUP(6218,ChemicalReport!F3:G13,2,FALSE)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VLOOKUP(6233,ChemicalReport!F3:G13,2,FALSE)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VLOOKUP(6240,ChemicalReport!F3:G13,2,FALSE)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VLOOKUP(6256,ChemicalReport!F3:G13,2,FALSE)</f>
        <v/>
      </c>
    </row>
    <row customHeight="1" ht="15" r="12" s="70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VLOOKUP(6271,ChemicalReport!F3:G13,2,FALSE)</f>
        <v/>
      </c>
    </row>
    <row customHeight="1" ht="18.75" r="15" s="70">
      <c r="A15" s="73" t="inlineStr">
        <is>
          <t>Chemical Budget status</t>
        </is>
      </c>
      <c r="B15" s="74" t="n"/>
    </row>
    <row r="16">
      <c r="A16" s="84" t="inlineStr">
        <is>
          <t>Annual Budget</t>
        </is>
      </c>
      <c r="B16" s="28">
        <f>VLOOKUP("Chemical Engineering",AAiTFinance!A3:H8,2,FALSE)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28" t="inlineStr">
        <is>
          <t>None</t>
        </is>
      </c>
    </row>
    <row r="19">
      <c r="A19" s="84" t="inlineStr">
        <is>
          <t>Adjusted Budget</t>
        </is>
      </c>
      <c r="B19" s="28">
        <f>VLOOKUP("Chemical Engineering",AAiTFinance!A3:F8,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5">
    <tabColor rgb="FFFFFF00"/>
    <outlinePr summaryBelow="1" summaryRight="1"/>
    <pageSetUpPr/>
  </sheetPr>
  <dimension ref="A1:N500"/>
  <sheetViews>
    <sheetView workbookViewId="0">
      <selection activeCell="G12" sqref="G12"/>
    </sheetView>
  </sheetViews>
  <sheetFormatPr baseColWidth="8" defaultRowHeight="15"/>
  <cols>
    <col customWidth="1" max="1" min="1" style="70" width="14.28515625"/>
    <col customWidth="1" max="2" min="2" style="70" width="19.5703125"/>
    <col customWidth="1" max="3" min="3" style="70" width="19.85546875"/>
    <col customWidth="1" max="4" min="4" style="70" width="15.85546875"/>
    <col customWidth="1" max="6" min="6" style="70" width="20.85546875"/>
    <col customWidth="1" max="7" min="7" style="70" width="18.42578125"/>
    <col customWidth="1" max="8" min="8" style="70" width="11.28515625"/>
  </cols>
  <sheetData>
    <row customHeight="1" ht="42.75" r="1" s="70">
      <c r="A1" s="80" t="inlineStr">
        <is>
          <t>Budget Report of School of Chemical Engineering</t>
        </is>
      </c>
      <c r="F1" s="80" t="inlineStr">
        <is>
          <t>Summarized format of the report chemical engineering</t>
        </is>
      </c>
      <c r="H1" s="62" t="n"/>
      <c r="I1" s="62" t="n"/>
      <c r="J1" s="62" t="n"/>
      <c r="K1" s="62" t="n"/>
      <c r="L1" s="62" t="n"/>
      <c r="M1" s="62" t="n"/>
      <c r="N1" s="62" t="n"/>
    </row>
    <row customHeight="1" ht="28.5" r="2" s="70">
      <c r="A2" t="inlineStr">
        <is>
          <t>Date</t>
        </is>
      </c>
      <c r="B2" t="inlineStr">
        <is>
          <t>Budget Code</t>
        </is>
      </c>
      <c r="C2" s="3" t="inlineStr">
        <is>
          <t>Reason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  <c r="H2" s="62" t="n"/>
      <c r="I2" s="62" t="n"/>
      <c r="J2" s="62" t="n"/>
      <c r="K2" s="62" t="n"/>
      <c r="L2" s="62" t="n"/>
      <c r="M2" s="62" t="n"/>
      <c r="N2" s="62" t="n"/>
    </row>
    <row customHeight="1" ht="15" r="3" s="70">
      <c r="C3" s="42" t="n"/>
      <c r="F3" s="6" t="n">
        <v>6111</v>
      </c>
      <c r="G3" s="40">
        <f>SUMIF(Table6[Budget Code],"=6111", Table6[Withdrawal])</f>
        <v/>
      </c>
      <c r="H3" s="62" t="n"/>
      <c r="I3" s="62" t="n"/>
      <c r="J3" s="62" t="n"/>
      <c r="K3" s="62" t="n"/>
      <c r="L3" s="62" t="n"/>
      <c r="M3" s="62" t="n"/>
      <c r="N3" s="62" t="n"/>
    </row>
    <row customHeight="1" ht="15" r="4" s="70">
      <c r="C4" s="42" t="n"/>
      <c r="F4" s="7" t="n">
        <v>6113</v>
      </c>
      <c r="G4" s="40">
        <f>SUMIF(Table6[Budget Code],"=6113", Table6[Withdrawal])</f>
        <v/>
      </c>
      <c r="H4" s="62" t="n"/>
      <c r="I4" s="62" t="n"/>
      <c r="J4" s="62" t="n"/>
      <c r="K4" s="62" t="n"/>
      <c r="L4" s="62" t="n"/>
      <c r="M4" s="62" t="n"/>
      <c r="N4" s="62" t="n"/>
    </row>
    <row customHeight="1" ht="15" r="5" s="70">
      <c r="C5" s="42" t="n"/>
      <c r="F5" s="7" t="n">
        <v>6121</v>
      </c>
      <c r="G5" s="40">
        <f>SUMIF(Table6[Budget Code],"=6121", Table6[Withdrawal])</f>
        <v/>
      </c>
      <c r="H5" s="62" t="n"/>
      <c r="I5" s="62" t="n"/>
      <c r="J5" s="62" t="n"/>
      <c r="K5" s="62" t="n"/>
      <c r="L5" s="62" t="n"/>
      <c r="M5" s="62" t="n"/>
      <c r="N5" s="62" t="n"/>
    </row>
    <row customHeight="1" ht="15" r="6" s="70">
      <c r="C6" s="42" t="n"/>
      <c r="F6" s="7" t="n">
        <v>6211</v>
      </c>
      <c r="G6" s="40">
        <f>SUMIF(Table6[Budget Code],"=6211", Table6[Withdrawal])</f>
        <v/>
      </c>
      <c r="H6" s="62" t="n"/>
      <c r="I6" s="62" t="n"/>
      <c r="J6" s="62" t="n"/>
      <c r="K6" s="62" t="n"/>
      <c r="L6" s="62" t="n"/>
      <c r="M6" s="62" t="n"/>
      <c r="N6" s="62" t="n"/>
    </row>
    <row customHeight="1" ht="15" r="7" s="70">
      <c r="C7" s="42" t="n"/>
      <c r="F7" s="7" t="n">
        <v>6212</v>
      </c>
      <c r="G7" s="40">
        <f>SUMIF(Table6[Budget Code],"=6212", Table6[Withdrawal])</f>
        <v/>
      </c>
      <c r="H7" s="62" t="n"/>
      <c r="I7" s="62" t="n"/>
      <c r="J7" s="62" t="n"/>
      <c r="K7" s="62" t="n"/>
      <c r="L7" s="62" t="n"/>
      <c r="M7" s="62" t="n"/>
      <c r="N7" s="62" t="n"/>
    </row>
    <row customHeight="1" ht="15" r="8" s="70">
      <c r="C8" s="42" t="n"/>
      <c r="F8" s="7" t="n">
        <v>6218</v>
      </c>
      <c r="G8" s="40">
        <f>SUMIF(Table6[Budget Code],"=6218", Table6[Withdrawal])</f>
        <v/>
      </c>
      <c r="H8" s="62" t="n"/>
      <c r="I8" s="62" t="n"/>
      <c r="J8" s="62" t="n"/>
      <c r="K8" s="62" t="n"/>
      <c r="L8" s="62" t="n"/>
      <c r="M8" s="62" t="n"/>
      <c r="N8" s="62" t="n"/>
    </row>
    <row customHeight="1" ht="15" r="9" s="70">
      <c r="C9" s="42" t="n"/>
      <c r="F9" s="7" t="n">
        <v>6233</v>
      </c>
      <c r="G9" s="40">
        <f>SUMIF(Table6[Budget Code],"=6233", Table6[Withdrawal])</f>
        <v/>
      </c>
      <c r="H9" s="62" t="n"/>
      <c r="I9" s="62" t="n"/>
      <c r="J9" s="62" t="n"/>
      <c r="K9" s="62" t="n"/>
      <c r="L9" s="62" t="n"/>
      <c r="M9" s="62" t="n"/>
      <c r="N9" s="62" t="n"/>
    </row>
    <row customHeight="1" ht="15" r="10" s="70">
      <c r="C10" s="42" t="n"/>
      <c r="F10" s="7" t="n">
        <v>6240</v>
      </c>
      <c r="G10" s="40">
        <f>SUMIF(Table6[Budget Code],"=6240", Table6[Withdrawal])</f>
        <v/>
      </c>
      <c r="H10" s="62" t="n"/>
      <c r="I10" s="62" t="n"/>
      <c r="J10" s="62" t="n"/>
      <c r="K10" s="62" t="n"/>
      <c r="L10" s="62" t="n"/>
      <c r="M10" s="62" t="n"/>
      <c r="N10" s="62" t="n"/>
    </row>
    <row r="11">
      <c r="C11" s="42" t="n"/>
      <c r="F11" s="7" t="n">
        <v>6256</v>
      </c>
      <c r="G11" s="40">
        <f>SUMIF(Table6[Budget Code],"=6256", Table6[Withdrawal])</f>
        <v/>
      </c>
    </row>
    <row r="12">
      <c r="C12" s="42" t="n"/>
      <c r="F12" s="7" t="n">
        <v>6271</v>
      </c>
      <c r="G12" s="40">
        <f>SUMIF(Table6[Budget Code],"=6271", Table6[Withdrawal])</f>
        <v/>
      </c>
    </row>
    <row r="13">
      <c r="C13" s="42" t="n"/>
      <c r="F13" s="25" t="inlineStr">
        <is>
          <t>Annual Expenditure</t>
        </is>
      </c>
      <c r="G13" s="32">
        <f>SUBTOTAL(109,G3:G12)</f>
        <v/>
      </c>
    </row>
    <row r="14">
      <c r="C14" s="42" t="n"/>
      <c r="F14" s="7" t="n"/>
    </row>
    <row r="15">
      <c r="C15" s="42" t="n"/>
    </row>
    <row r="16">
      <c r="C16" s="42" t="n"/>
    </row>
    <row r="17">
      <c r="C17" s="42" t="n"/>
    </row>
    <row r="18">
      <c r="C18" s="42" t="n"/>
    </row>
    <row r="19">
      <c r="C19" s="42" t="n"/>
    </row>
    <row r="20">
      <c r="C20" s="42" t="n"/>
    </row>
    <row r="21">
      <c r="C21" s="42" t="n"/>
    </row>
    <row r="22">
      <c r="C22" s="42" t="n"/>
    </row>
    <row r="23">
      <c r="C23" s="42" t="n"/>
    </row>
    <row r="24">
      <c r="C24" s="42" t="n"/>
    </row>
    <row r="25">
      <c r="C25" s="42" t="n"/>
    </row>
    <row r="26">
      <c r="C26" s="42" t="n"/>
    </row>
    <row r="27">
      <c r="C27" s="42" t="n"/>
    </row>
    <row r="28">
      <c r="C28" s="42" t="n"/>
    </row>
    <row r="29">
      <c r="C29" s="42" t="n"/>
    </row>
    <row r="30">
      <c r="C30" s="42" t="n"/>
    </row>
    <row r="31">
      <c r="C31" s="42" t="n"/>
    </row>
    <row r="32">
      <c r="C32" s="42" t="n"/>
    </row>
    <row r="33">
      <c r="C33" s="42" t="n"/>
    </row>
    <row r="34">
      <c r="C34" s="42" t="n"/>
    </row>
    <row r="35">
      <c r="C35" s="42" t="n"/>
    </row>
    <row r="36">
      <c r="C36" s="42" t="n"/>
    </row>
    <row r="37">
      <c r="C37" s="42" t="n"/>
    </row>
    <row r="38">
      <c r="C38" s="42" t="n"/>
    </row>
    <row r="39">
      <c r="C39" s="42" t="n"/>
    </row>
    <row r="40">
      <c r="C40" s="42" t="n"/>
    </row>
    <row r="41">
      <c r="C41" s="42" t="n"/>
    </row>
    <row r="42">
      <c r="C42" s="42" t="n"/>
    </row>
    <row r="43">
      <c r="C43" s="42" t="n"/>
    </row>
    <row r="44">
      <c r="C44" s="42" t="n"/>
    </row>
    <row r="45">
      <c r="C45" s="42" t="n"/>
    </row>
    <row r="46">
      <c r="C46" s="42" t="n"/>
    </row>
    <row r="47">
      <c r="C47" s="42" t="n"/>
    </row>
    <row r="48">
      <c r="C48" s="42" t="n"/>
    </row>
    <row r="49">
      <c r="C49" s="42" t="n"/>
    </row>
    <row r="50">
      <c r="C50" s="42" t="n"/>
    </row>
    <row r="51">
      <c r="C51" s="42" t="n"/>
    </row>
    <row r="52">
      <c r="C52" s="42" t="n"/>
    </row>
    <row r="53">
      <c r="C53" s="42" t="n"/>
    </row>
    <row r="54">
      <c r="C54" s="42" t="n"/>
    </row>
    <row r="55">
      <c r="C55" s="42" t="n"/>
    </row>
    <row r="56">
      <c r="C56" s="42" t="n"/>
    </row>
    <row r="57">
      <c r="C57" s="42" t="n"/>
    </row>
    <row r="58">
      <c r="C58" s="42" t="n"/>
    </row>
    <row r="59">
      <c r="C59" s="42" t="n"/>
    </row>
    <row r="60">
      <c r="C60" s="42" t="n"/>
    </row>
    <row r="61">
      <c r="C61" s="42" t="n"/>
    </row>
    <row r="62">
      <c r="C62" s="42" t="n"/>
    </row>
    <row r="63">
      <c r="C63" s="42" t="n"/>
    </row>
    <row r="64">
      <c r="C64" s="42" t="n"/>
    </row>
    <row r="65">
      <c r="C65" s="42" t="n"/>
    </row>
    <row r="66">
      <c r="C66" s="42" t="n"/>
    </row>
    <row r="67">
      <c r="C67" s="42" t="n"/>
    </row>
    <row r="68">
      <c r="C68" s="42" t="n"/>
    </row>
    <row r="69">
      <c r="C69" s="42" t="n"/>
    </row>
    <row r="70">
      <c r="C70" s="42" t="n"/>
    </row>
    <row r="71">
      <c r="C71" s="42" t="n"/>
    </row>
    <row r="72">
      <c r="C72" s="42" t="n"/>
    </row>
    <row r="73">
      <c r="C73" s="42" t="n"/>
    </row>
    <row r="74">
      <c r="C74" s="42" t="n"/>
    </row>
    <row r="75">
      <c r="C75" s="42" t="n"/>
    </row>
    <row r="76">
      <c r="C76" s="42" t="n"/>
    </row>
    <row r="77">
      <c r="C77" s="42" t="n"/>
    </row>
    <row r="78">
      <c r="C78" s="42" t="n"/>
    </row>
    <row r="79">
      <c r="C79" s="42" t="n"/>
    </row>
    <row r="80">
      <c r="C80" s="42" t="n"/>
    </row>
    <row r="81">
      <c r="C81" s="42" t="n"/>
    </row>
    <row r="82">
      <c r="C82" s="42" t="n"/>
    </row>
    <row r="83">
      <c r="C83" s="42" t="n"/>
    </row>
    <row r="84">
      <c r="C84" s="42" t="n"/>
    </row>
    <row r="85">
      <c r="C85" s="42" t="n"/>
    </row>
    <row r="86">
      <c r="C86" s="42" t="n"/>
    </row>
    <row r="87">
      <c r="C87" s="42" t="n"/>
    </row>
    <row r="88">
      <c r="C88" s="42" t="n"/>
    </row>
    <row r="89">
      <c r="C89" s="42" t="n"/>
    </row>
    <row r="90">
      <c r="C90" s="42" t="n"/>
    </row>
    <row r="91">
      <c r="C91" s="42" t="n"/>
    </row>
    <row r="92">
      <c r="C92" s="42" t="n"/>
    </row>
    <row r="93">
      <c r="C93" s="42" t="n"/>
    </row>
    <row r="94">
      <c r="C94" s="42" t="n"/>
    </row>
    <row r="95">
      <c r="C95" s="42" t="n"/>
    </row>
    <row r="96">
      <c r="C96" s="42" t="n"/>
    </row>
    <row r="97">
      <c r="C97" s="42" t="n"/>
    </row>
    <row r="98">
      <c r="C98" s="42" t="n"/>
    </row>
    <row r="99">
      <c r="C99" s="42" t="n"/>
    </row>
    <row r="100">
      <c r="C100" s="42" t="n"/>
    </row>
    <row r="101">
      <c r="C101" s="42" t="n"/>
    </row>
    <row r="102">
      <c r="C102" s="42" t="n"/>
    </row>
    <row r="103">
      <c r="C103" s="42" t="n"/>
    </row>
    <row r="104">
      <c r="C104" s="42" t="n"/>
    </row>
    <row r="105">
      <c r="C105" s="42" t="n"/>
    </row>
    <row r="106">
      <c r="C106" s="42" t="n"/>
    </row>
    <row r="107">
      <c r="C107" s="42" t="n"/>
    </row>
    <row r="108">
      <c r="C108" s="42" t="n"/>
    </row>
    <row r="109">
      <c r="C109" s="42" t="n"/>
    </row>
    <row r="110">
      <c r="C110" s="42" t="n"/>
    </row>
    <row r="111">
      <c r="C111" s="42" t="n"/>
    </row>
    <row r="112">
      <c r="C112" s="42" t="n"/>
    </row>
    <row r="113">
      <c r="C113" s="42" t="n"/>
    </row>
    <row r="114">
      <c r="C114" s="42" t="n"/>
    </row>
    <row r="115">
      <c r="C115" s="42" t="n"/>
    </row>
    <row r="116">
      <c r="C116" s="42" t="n"/>
    </row>
    <row r="117">
      <c r="C117" s="42" t="n"/>
    </row>
    <row r="118">
      <c r="C118" s="42" t="n"/>
    </row>
    <row r="119">
      <c r="C119" s="42" t="n"/>
    </row>
    <row r="120">
      <c r="C120" s="42" t="n"/>
    </row>
    <row r="121">
      <c r="C121" s="42" t="n"/>
    </row>
    <row r="122">
      <c r="C122" s="42" t="n"/>
    </row>
    <row r="123">
      <c r="C123" s="42" t="n"/>
    </row>
    <row r="124">
      <c r="C124" s="42" t="n"/>
    </row>
    <row r="125">
      <c r="C125" s="42" t="n"/>
    </row>
    <row r="126">
      <c r="C126" s="42" t="n"/>
    </row>
    <row r="127">
      <c r="C127" s="42" t="n"/>
    </row>
    <row r="128">
      <c r="C128" s="42" t="n"/>
    </row>
    <row r="129">
      <c r="C129" s="42" t="n"/>
    </row>
    <row r="130">
      <c r="C130" s="42" t="n"/>
    </row>
    <row r="131">
      <c r="C131" s="42" t="n"/>
    </row>
    <row r="132">
      <c r="C132" s="42" t="n"/>
    </row>
    <row r="133">
      <c r="C133" s="42" t="n"/>
    </row>
    <row r="134">
      <c r="C134" s="42" t="n"/>
    </row>
    <row r="135">
      <c r="C135" s="42" t="n"/>
    </row>
    <row r="136">
      <c r="C136" s="42" t="n"/>
    </row>
    <row r="137">
      <c r="C137" s="42" t="n"/>
    </row>
    <row r="138">
      <c r="C138" s="42" t="n"/>
    </row>
    <row r="139">
      <c r="C139" s="42" t="n"/>
    </row>
    <row r="140">
      <c r="C140" s="42" t="n"/>
    </row>
    <row r="141">
      <c r="C141" s="42" t="n"/>
    </row>
    <row r="142">
      <c r="C142" s="42" t="n"/>
    </row>
    <row r="143">
      <c r="C143" s="42" t="n"/>
    </row>
    <row r="144">
      <c r="C144" s="42" t="n"/>
    </row>
    <row r="145">
      <c r="C145" s="42" t="n"/>
    </row>
    <row r="146">
      <c r="C146" s="42" t="n"/>
    </row>
    <row r="147">
      <c r="C147" s="42" t="n"/>
    </row>
    <row r="148">
      <c r="C148" s="42" t="n"/>
    </row>
    <row r="149">
      <c r="C149" s="42" t="n"/>
    </row>
    <row r="150">
      <c r="C150" s="42" t="n"/>
    </row>
    <row r="151">
      <c r="C151" s="42" t="n"/>
    </row>
    <row r="152">
      <c r="C152" s="42" t="n"/>
    </row>
    <row r="153">
      <c r="C153" s="42" t="n"/>
    </row>
    <row r="154">
      <c r="C154" s="42" t="n"/>
    </row>
    <row r="155">
      <c r="C155" s="42" t="n"/>
    </row>
    <row r="156">
      <c r="C156" s="42" t="n"/>
    </row>
    <row r="157">
      <c r="C157" s="42" t="n"/>
    </row>
    <row r="158">
      <c r="C158" s="42" t="n"/>
    </row>
    <row r="159">
      <c r="C159" s="42" t="n"/>
    </row>
    <row r="160">
      <c r="C160" s="42" t="n"/>
    </row>
    <row r="161">
      <c r="C161" s="42" t="n"/>
    </row>
    <row r="162">
      <c r="C162" s="42" t="n"/>
    </row>
    <row r="163">
      <c r="C163" s="42" t="n"/>
    </row>
    <row r="164">
      <c r="C164" s="42" t="n"/>
    </row>
    <row r="165">
      <c r="C165" s="42" t="n"/>
    </row>
    <row r="166">
      <c r="C166" s="42" t="n"/>
    </row>
    <row r="167">
      <c r="C167" s="42" t="n"/>
    </row>
    <row r="168">
      <c r="C168" s="42" t="n"/>
    </row>
    <row r="169">
      <c r="C169" s="42" t="n"/>
    </row>
    <row r="170">
      <c r="C170" s="42" t="n"/>
    </row>
    <row r="171">
      <c r="C171" s="42" t="n"/>
    </row>
    <row r="172">
      <c r="C172" s="42" t="n"/>
    </row>
    <row r="173">
      <c r="C173" s="42" t="n"/>
    </row>
    <row r="174">
      <c r="C174" s="42" t="n"/>
    </row>
    <row r="175">
      <c r="C175" s="42" t="n"/>
    </row>
    <row r="176">
      <c r="C176" s="42" t="n"/>
    </row>
    <row r="177">
      <c r="C177" s="42" t="n"/>
    </row>
    <row r="178">
      <c r="C178" s="42" t="n"/>
    </row>
    <row r="179">
      <c r="C179" s="42" t="n"/>
    </row>
    <row r="180">
      <c r="C180" s="42" t="n"/>
    </row>
    <row r="181">
      <c r="C181" s="42" t="n"/>
    </row>
    <row r="182">
      <c r="C182" s="42" t="n"/>
    </row>
    <row r="183">
      <c r="C183" s="42" t="n"/>
    </row>
    <row r="184">
      <c r="C184" s="42" t="n"/>
    </row>
    <row r="185">
      <c r="C185" s="42" t="n"/>
    </row>
    <row r="186">
      <c r="C186" s="42" t="n"/>
    </row>
    <row r="187">
      <c r="C187" s="42" t="n"/>
    </row>
    <row r="188">
      <c r="C188" s="42" t="n"/>
    </row>
    <row r="189">
      <c r="C189" s="42" t="n"/>
    </row>
    <row r="190">
      <c r="C190" s="42" t="n"/>
    </row>
    <row r="191">
      <c r="C191" s="42" t="n"/>
    </row>
    <row r="192">
      <c r="C192" s="42" t="n"/>
    </row>
    <row r="193">
      <c r="C193" s="42" t="n"/>
    </row>
    <row r="194">
      <c r="C194" s="42" t="n"/>
    </row>
    <row r="195">
      <c r="C195" s="42" t="n"/>
    </row>
    <row r="196">
      <c r="C196" s="42" t="n"/>
    </row>
    <row r="197">
      <c r="C197" s="42" t="n"/>
    </row>
    <row r="198">
      <c r="C198" s="42" t="n"/>
    </row>
    <row r="199">
      <c r="C199" s="42" t="n"/>
    </row>
    <row r="200">
      <c r="C200" s="42" t="n"/>
    </row>
    <row r="201">
      <c r="C201" s="42" t="n"/>
    </row>
    <row r="202">
      <c r="C202" s="42" t="n"/>
    </row>
    <row r="203">
      <c r="C203" s="42" t="n"/>
    </row>
    <row r="204">
      <c r="C204" s="42" t="n"/>
    </row>
    <row r="205">
      <c r="C205" s="42" t="n"/>
    </row>
    <row r="206">
      <c r="C206" s="42" t="n"/>
    </row>
    <row r="207">
      <c r="C207" s="42" t="n"/>
    </row>
    <row r="208">
      <c r="C208" s="42" t="n"/>
    </row>
    <row r="209">
      <c r="C209" s="42" t="n"/>
    </row>
    <row r="210">
      <c r="C210" s="42" t="n"/>
    </row>
    <row r="211">
      <c r="C211" s="42" t="n"/>
    </row>
    <row r="212">
      <c r="C212" s="42" t="n"/>
    </row>
    <row r="213">
      <c r="C213" s="42" t="n"/>
    </row>
    <row r="214">
      <c r="C214" s="42" t="n"/>
    </row>
    <row r="215">
      <c r="C215" s="42" t="n"/>
    </row>
    <row r="216">
      <c r="C216" s="42" t="n"/>
    </row>
    <row r="217">
      <c r="C217" s="42" t="n"/>
    </row>
    <row r="218">
      <c r="C218" s="42" t="n"/>
    </row>
    <row r="219">
      <c r="C219" s="42" t="n"/>
    </row>
    <row r="220">
      <c r="C220" s="42" t="n"/>
    </row>
    <row r="221">
      <c r="C221" s="42" t="n"/>
    </row>
    <row r="222">
      <c r="C222" s="42" t="n"/>
    </row>
    <row r="223">
      <c r="C223" s="42" t="n"/>
    </row>
    <row r="224">
      <c r="C224" s="42" t="n"/>
    </row>
    <row r="225">
      <c r="C225" s="42" t="n"/>
    </row>
    <row r="226">
      <c r="C226" s="42" t="n"/>
    </row>
    <row r="227">
      <c r="C227" s="42" t="n"/>
    </row>
    <row r="228">
      <c r="C228" s="42" t="n"/>
    </row>
    <row r="229">
      <c r="C229" s="42" t="n"/>
    </row>
    <row r="230">
      <c r="C230" s="42" t="n"/>
    </row>
    <row r="231">
      <c r="C231" s="42" t="n"/>
    </row>
    <row r="232">
      <c r="C232" s="42" t="n"/>
    </row>
    <row r="233">
      <c r="C233" s="42" t="n"/>
    </row>
    <row r="234">
      <c r="C234" s="42" t="n"/>
    </row>
    <row r="235">
      <c r="C235" s="42" t="n"/>
    </row>
    <row r="236">
      <c r="C236" s="42" t="n"/>
    </row>
    <row r="237">
      <c r="C237" s="42" t="n"/>
    </row>
    <row r="238">
      <c r="C238" s="42" t="n"/>
    </row>
    <row r="239">
      <c r="C239" s="42" t="n"/>
    </row>
    <row r="240">
      <c r="C240" s="42" t="n"/>
    </row>
    <row r="241">
      <c r="C241" s="42" t="n"/>
    </row>
    <row r="242">
      <c r="C242" s="42" t="n"/>
    </row>
    <row r="243">
      <c r="C243" s="42" t="n"/>
    </row>
    <row r="244">
      <c r="C244" s="42" t="n"/>
    </row>
    <row r="245">
      <c r="C245" s="42" t="n"/>
    </row>
    <row r="246">
      <c r="C246" s="42" t="n"/>
    </row>
    <row r="247">
      <c r="C247" s="42" t="n"/>
    </row>
    <row r="248">
      <c r="C248" s="42" t="n"/>
    </row>
    <row r="249">
      <c r="C249" s="42" t="n"/>
    </row>
    <row r="250">
      <c r="C250" s="42" t="n"/>
    </row>
    <row r="251">
      <c r="C251" s="42" t="n"/>
    </row>
    <row r="252">
      <c r="C252" s="42" t="n"/>
    </row>
    <row r="253">
      <c r="C253" s="42" t="n"/>
    </row>
    <row r="254">
      <c r="C254" s="42" t="n"/>
    </row>
    <row r="255">
      <c r="C255" s="42" t="n"/>
    </row>
    <row r="256">
      <c r="C256" s="42" t="n"/>
    </row>
    <row r="257">
      <c r="C257" s="42" t="n"/>
    </row>
    <row r="258">
      <c r="C258" s="42" t="n"/>
    </row>
    <row r="259">
      <c r="C259" s="42" t="n"/>
    </row>
    <row r="260">
      <c r="C260" s="42" t="n"/>
    </row>
    <row r="261">
      <c r="C261" s="42" t="n"/>
    </row>
    <row r="262">
      <c r="C262" s="42" t="n"/>
    </row>
    <row r="263">
      <c r="C263" s="42" t="n"/>
    </row>
    <row r="264">
      <c r="C264" s="42" t="n"/>
    </row>
    <row r="265">
      <c r="C265" s="42" t="n"/>
    </row>
    <row r="266">
      <c r="C266" s="42" t="n"/>
    </row>
    <row r="267">
      <c r="C267" s="42" t="n"/>
    </row>
    <row r="268">
      <c r="C268" s="42" t="n"/>
    </row>
    <row r="269">
      <c r="C269" s="42" t="n"/>
    </row>
    <row r="270">
      <c r="C270" s="42" t="n"/>
    </row>
    <row r="271">
      <c r="C271" s="42" t="n"/>
    </row>
    <row r="272">
      <c r="C272" s="42" t="n"/>
    </row>
    <row r="273">
      <c r="C273" s="42" t="n"/>
    </row>
    <row r="274">
      <c r="C274" s="42" t="n"/>
    </row>
    <row r="275">
      <c r="C275" s="42" t="n"/>
    </row>
    <row r="276">
      <c r="C276" s="42" t="n"/>
    </row>
    <row r="277">
      <c r="C277" s="42" t="n"/>
    </row>
    <row r="278">
      <c r="C278" s="42" t="n"/>
    </row>
    <row r="279">
      <c r="C279" s="42" t="n"/>
    </row>
    <row r="280">
      <c r="C280" s="42" t="n"/>
    </row>
    <row r="281">
      <c r="C281" s="42" t="n"/>
    </row>
    <row r="282">
      <c r="C282" s="42" t="n"/>
    </row>
    <row r="283">
      <c r="C283" s="42" t="n"/>
    </row>
    <row r="284">
      <c r="C284" s="42" t="n"/>
    </row>
    <row r="285">
      <c r="C285" s="42" t="n"/>
    </row>
    <row r="286">
      <c r="C286" s="42" t="n"/>
    </row>
    <row r="287">
      <c r="C287" s="42" t="n"/>
    </row>
    <row r="288">
      <c r="C288" s="42" t="n"/>
    </row>
    <row r="289">
      <c r="C289" s="42" t="n"/>
    </row>
    <row r="290">
      <c r="C290" s="42" t="n"/>
    </row>
    <row r="291">
      <c r="C291" s="42" t="n"/>
    </row>
    <row r="292">
      <c r="C292" s="42" t="n"/>
    </row>
    <row r="293">
      <c r="C293" s="42" t="n"/>
    </row>
    <row r="294">
      <c r="C294" s="42" t="n"/>
    </row>
    <row r="295">
      <c r="C295" s="42" t="n"/>
    </row>
    <row r="296">
      <c r="C296" s="42" t="n"/>
    </row>
    <row r="297">
      <c r="C297" s="42" t="n"/>
    </row>
    <row r="298">
      <c r="C298" s="42" t="n"/>
    </row>
    <row r="299">
      <c r="C299" s="42" t="n"/>
    </row>
    <row r="300">
      <c r="C300" s="42" t="n"/>
    </row>
    <row r="301">
      <c r="C301" s="42" t="n"/>
    </row>
    <row r="302">
      <c r="C302" s="42" t="n"/>
    </row>
    <row r="303">
      <c r="C303" s="42" t="n"/>
    </row>
    <row r="304">
      <c r="C304" s="42" t="n"/>
    </row>
    <row r="305">
      <c r="C305" s="42" t="n"/>
    </row>
    <row r="306">
      <c r="C306" s="42" t="n"/>
    </row>
    <row r="307">
      <c r="C307" s="42" t="n"/>
    </row>
    <row r="308">
      <c r="C308" s="42" t="n"/>
    </row>
    <row r="309">
      <c r="C309" s="42" t="n"/>
    </row>
    <row r="310">
      <c r="C310" s="42" t="n"/>
    </row>
    <row r="311">
      <c r="C311" s="42" t="n"/>
    </row>
    <row r="312">
      <c r="C312" s="42" t="n"/>
    </row>
    <row r="313">
      <c r="C313" s="42" t="n"/>
    </row>
    <row r="314">
      <c r="C314" s="42" t="n"/>
    </row>
    <row r="315">
      <c r="C315" s="42" t="n"/>
    </row>
    <row r="316">
      <c r="C316" s="42" t="n"/>
    </row>
    <row r="317">
      <c r="C317" s="42" t="n"/>
    </row>
    <row r="318">
      <c r="C318" s="42" t="n"/>
    </row>
    <row r="319">
      <c r="C319" s="42" t="n"/>
    </row>
    <row r="320">
      <c r="C320" s="42" t="n"/>
    </row>
    <row r="321">
      <c r="C321" s="42" t="n"/>
    </row>
    <row r="322">
      <c r="C322" s="42" t="n"/>
    </row>
    <row r="323">
      <c r="C323" s="42" t="n"/>
    </row>
    <row r="324">
      <c r="C324" s="42" t="n"/>
    </row>
    <row r="325">
      <c r="C325" s="42" t="n"/>
    </row>
    <row r="326">
      <c r="C326" s="42" t="n"/>
    </row>
    <row r="327">
      <c r="C327" s="42" t="n"/>
    </row>
    <row r="328">
      <c r="C328" s="42" t="n"/>
    </row>
    <row r="329">
      <c r="C329" s="42" t="n"/>
    </row>
    <row r="330">
      <c r="C330" s="42" t="n"/>
    </row>
    <row r="331">
      <c r="C331" s="42" t="n"/>
    </row>
    <row r="332">
      <c r="C332" s="42" t="n"/>
    </row>
    <row r="333">
      <c r="C333" s="42" t="n"/>
    </row>
    <row r="334">
      <c r="C334" s="42" t="n"/>
    </row>
    <row r="335">
      <c r="C335" s="42" t="n"/>
    </row>
    <row r="336">
      <c r="C336" s="42" t="n"/>
    </row>
    <row r="337">
      <c r="C337" s="42" t="n"/>
    </row>
    <row r="338">
      <c r="C338" s="42" t="n"/>
    </row>
    <row r="339">
      <c r="C339" s="42" t="n"/>
    </row>
    <row r="340">
      <c r="C340" s="42" t="n"/>
    </row>
    <row r="341">
      <c r="C341" s="42" t="n"/>
    </row>
    <row r="342">
      <c r="C342" s="42" t="n"/>
    </row>
    <row r="343">
      <c r="C343" s="42" t="n"/>
    </row>
    <row r="344">
      <c r="C344" s="42" t="n"/>
    </row>
    <row r="345">
      <c r="C345" s="42" t="n"/>
    </row>
    <row r="346">
      <c r="C346" s="42" t="n"/>
    </row>
    <row r="347">
      <c r="C347" s="42" t="n"/>
    </row>
    <row r="348">
      <c r="C348" s="42" t="n"/>
    </row>
    <row r="349">
      <c r="C349" s="42" t="n"/>
    </row>
    <row r="350">
      <c r="C350" s="42" t="n"/>
    </row>
    <row r="351">
      <c r="C351" s="42" t="n"/>
    </row>
    <row r="352">
      <c r="C352" s="42" t="n"/>
    </row>
    <row r="353">
      <c r="C353" s="42" t="n"/>
    </row>
    <row r="354">
      <c r="C354" s="42" t="n"/>
    </row>
    <row r="355">
      <c r="C355" s="42" t="n"/>
    </row>
    <row r="356">
      <c r="C356" s="42" t="n"/>
    </row>
    <row r="357">
      <c r="C357" s="42" t="n"/>
    </row>
    <row r="358">
      <c r="C358" s="42" t="n"/>
    </row>
    <row r="359">
      <c r="C359" s="42" t="n"/>
    </row>
    <row r="360">
      <c r="C360" s="42" t="n"/>
    </row>
    <row r="361">
      <c r="C361" s="42" t="n"/>
    </row>
    <row r="362">
      <c r="C362" s="42" t="n"/>
    </row>
    <row r="363">
      <c r="C363" s="42" t="n"/>
    </row>
    <row r="364">
      <c r="C364" s="42" t="n"/>
    </row>
    <row r="365">
      <c r="C365" s="42" t="n"/>
    </row>
    <row r="366">
      <c r="C366" s="42" t="n"/>
    </row>
    <row r="367">
      <c r="C367" s="42" t="n"/>
    </row>
    <row r="368">
      <c r="C368" s="42" t="n"/>
    </row>
    <row r="369">
      <c r="C369" s="42" t="n"/>
    </row>
    <row r="370">
      <c r="C370" s="42" t="n"/>
    </row>
    <row r="371">
      <c r="C371" s="42" t="n"/>
    </row>
    <row r="372">
      <c r="C372" s="42" t="n"/>
    </row>
    <row r="373">
      <c r="C373" s="42" t="n"/>
    </row>
    <row r="374">
      <c r="C374" s="42" t="n"/>
    </row>
    <row r="375">
      <c r="C375" s="42" t="n"/>
    </row>
    <row r="376">
      <c r="C376" s="42" t="n"/>
    </row>
    <row r="377">
      <c r="C377" s="42" t="n"/>
    </row>
    <row r="378">
      <c r="C378" s="42" t="n"/>
    </row>
    <row r="379">
      <c r="C379" s="42" t="n"/>
    </row>
    <row r="380">
      <c r="C380" s="42" t="n"/>
    </row>
    <row r="381">
      <c r="C381" s="42" t="n"/>
    </row>
    <row r="382">
      <c r="C382" s="42" t="n"/>
    </row>
    <row r="383">
      <c r="C383" s="42" t="n"/>
    </row>
    <row r="384">
      <c r="C384" s="42" t="n"/>
    </row>
    <row r="385">
      <c r="C385" s="42" t="n"/>
    </row>
    <row r="386">
      <c r="C386" s="42" t="n"/>
    </row>
    <row r="387">
      <c r="C387" s="42" t="n"/>
    </row>
    <row r="388">
      <c r="C388" s="42" t="n"/>
    </row>
    <row r="389">
      <c r="C389" s="42" t="n"/>
    </row>
    <row r="390">
      <c r="C390" s="42" t="n"/>
    </row>
    <row r="391">
      <c r="C391" s="42" t="n"/>
    </row>
    <row r="392">
      <c r="C392" s="42" t="n"/>
    </row>
    <row r="393">
      <c r="C393" s="42" t="n"/>
    </row>
    <row r="394">
      <c r="C394" s="42" t="n"/>
    </row>
    <row r="395">
      <c r="C395" s="42" t="n"/>
    </row>
    <row r="396">
      <c r="C396" s="42" t="n"/>
    </row>
    <row r="397">
      <c r="C397" s="42" t="n"/>
    </row>
    <row r="398">
      <c r="C398" s="42" t="n"/>
    </row>
    <row r="399">
      <c r="C399" s="42" t="n"/>
    </row>
    <row r="400">
      <c r="C400" s="42" t="n"/>
    </row>
    <row r="401">
      <c r="C401" s="42" t="n"/>
    </row>
    <row r="402">
      <c r="C402" s="42" t="n"/>
    </row>
    <row r="403">
      <c r="C403" s="42" t="n"/>
    </row>
    <row r="404">
      <c r="C404" s="42" t="n"/>
    </row>
    <row r="405">
      <c r="C405" s="42" t="n"/>
    </row>
    <row r="406">
      <c r="C406" s="42" t="n"/>
    </row>
    <row r="407">
      <c r="C407" s="42" t="n"/>
    </row>
    <row r="408">
      <c r="C408" s="42" t="n"/>
    </row>
    <row r="409">
      <c r="C409" s="42" t="n"/>
    </row>
    <row r="410">
      <c r="C410" s="42" t="n"/>
    </row>
    <row r="411">
      <c r="C411" s="42" t="n"/>
    </row>
    <row r="412">
      <c r="C412" s="42" t="n"/>
    </row>
    <row r="413">
      <c r="C413" s="42" t="n"/>
    </row>
    <row r="414">
      <c r="C414" s="42" t="n"/>
    </row>
    <row r="415">
      <c r="C415" s="42" t="n"/>
    </row>
    <row r="416">
      <c r="C416" s="42" t="n"/>
    </row>
    <row r="417">
      <c r="C417" s="42" t="n"/>
    </row>
    <row r="418">
      <c r="C418" s="42" t="n"/>
    </row>
    <row r="419">
      <c r="C419" s="42" t="n"/>
    </row>
    <row r="420">
      <c r="C420" s="42" t="n"/>
    </row>
    <row r="421">
      <c r="C421" s="42" t="n"/>
    </row>
    <row r="422">
      <c r="C422" s="42" t="n"/>
    </row>
    <row r="423">
      <c r="C423" s="42" t="n"/>
    </row>
    <row r="424">
      <c r="C424" s="42" t="n"/>
    </row>
    <row r="425">
      <c r="C425" s="42" t="n"/>
    </row>
    <row r="426">
      <c r="C426" s="42" t="n"/>
    </row>
    <row r="427">
      <c r="C427" s="42" t="n"/>
    </row>
    <row r="428">
      <c r="C428" s="42" t="n"/>
    </row>
    <row r="429">
      <c r="C429" s="42" t="n"/>
    </row>
    <row r="430">
      <c r="C430" s="42" t="n"/>
    </row>
    <row r="431">
      <c r="C431" s="42" t="n"/>
    </row>
    <row r="432">
      <c r="C432" s="42" t="n"/>
    </row>
    <row r="433">
      <c r="C433" s="42" t="n"/>
    </row>
    <row r="434">
      <c r="C434" s="42" t="n"/>
    </row>
    <row r="435">
      <c r="C435" s="42" t="n"/>
    </row>
    <row r="436">
      <c r="C436" s="42" t="n"/>
    </row>
    <row r="437">
      <c r="C437" s="42" t="n"/>
    </row>
    <row r="438">
      <c r="C438" s="42" t="n"/>
    </row>
    <row r="439">
      <c r="C439" s="42" t="n"/>
    </row>
    <row r="440">
      <c r="C440" s="42" t="n"/>
    </row>
    <row r="441">
      <c r="C441" s="42" t="n"/>
    </row>
    <row r="442">
      <c r="C442" s="42" t="n"/>
    </row>
    <row r="443">
      <c r="C443" s="42" t="n"/>
    </row>
    <row r="444">
      <c r="C444" s="42" t="n"/>
    </row>
    <row r="445">
      <c r="C445" s="42" t="n"/>
    </row>
    <row r="446">
      <c r="C446" s="42" t="n"/>
    </row>
    <row r="447">
      <c r="C447" s="42" t="n"/>
    </row>
    <row r="448">
      <c r="C448" s="42" t="n"/>
    </row>
    <row r="449">
      <c r="C449" s="42" t="n"/>
    </row>
    <row r="450">
      <c r="C450" s="42" t="n"/>
    </row>
    <row r="451">
      <c r="C451" s="42" t="n"/>
    </row>
    <row r="452">
      <c r="C452" s="42" t="n"/>
    </row>
    <row r="453">
      <c r="C453" s="42" t="n"/>
    </row>
    <row r="454">
      <c r="C454" s="42" t="n"/>
    </row>
    <row r="455">
      <c r="C455" s="42" t="n"/>
    </row>
    <row r="456">
      <c r="C456" s="42" t="n"/>
    </row>
    <row r="457">
      <c r="C457" s="42" t="n"/>
    </row>
    <row r="458">
      <c r="C458" s="42" t="n"/>
    </row>
    <row r="459">
      <c r="C459" s="42" t="n"/>
    </row>
    <row r="460">
      <c r="C460" s="42" t="n"/>
    </row>
    <row r="461">
      <c r="C461" s="42" t="n"/>
    </row>
    <row r="462">
      <c r="C462" s="42" t="n"/>
    </row>
    <row r="463">
      <c r="C463" s="42" t="n"/>
    </row>
    <row r="464">
      <c r="C464" s="42" t="n"/>
    </row>
    <row r="465">
      <c r="C465" s="42" t="n"/>
    </row>
    <row r="466">
      <c r="C466" s="42" t="n"/>
    </row>
    <row r="467">
      <c r="C467" s="42" t="n"/>
    </row>
    <row r="468">
      <c r="C468" s="42" t="n"/>
    </row>
    <row r="469">
      <c r="C469" s="42" t="n"/>
    </row>
    <row r="470">
      <c r="C470" s="42" t="n"/>
    </row>
    <row r="471">
      <c r="C471" s="42" t="n"/>
    </row>
    <row r="472">
      <c r="C472" s="42" t="n"/>
    </row>
    <row r="473">
      <c r="C473" s="42" t="n"/>
    </row>
    <row r="474">
      <c r="C474" s="42" t="n"/>
    </row>
    <row r="475">
      <c r="C475" s="42" t="n"/>
    </row>
    <row r="476">
      <c r="C476" s="42" t="n"/>
    </row>
    <row r="477">
      <c r="C477" s="42" t="n"/>
    </row>
    <row r="478">
      <c r="C478" s="42" t="n"/>
    </row>
    <row r="479">
      <c r="C479" s="42" t="n"/>
    </row>
    <row r="480">
      <c r="C480" s="42" t="n"/>
    </row>
    <row r="481">
      <c r="C481" s="42" t="n"/>
    </row>
    <row r="482">
      <c r="C482" s="42" t="n"/>
    </row>
    <row r="483">
      <c r="C483" s="42" t="n"/>
    </row>
    <row r="484">
      <c r="C484" s="42" t="n"/>
    </row>
    <row r="485">
      <c r="C485" s="42" t="n"/>
    </row>
    <row r="486">
      <c r="C486" s="42" t="n"/>
    </row>
    <row r="487">
      <c r="C487" s="42" t="n"/>
    </row>
    <row r="488">
      <c r="C488" s="42" t="n"/>
    </row>
    <row r="489">
      <c r="C489" s="42" t="n"/>
    </row>
    <row r="490">
      <c r="C490" s="42" t="n"/>
    </row>
    <row r="491">
      <c r="C491" s="42" t="n"/>
    </row>
    <row r="492">
      <c r="C492" s="42" t="n"/>
    </row>
    <row r="493">
      <c r="C493" s="42" t="n"/>
    </row>
    <row r="494">
      <c r="C494" s="42" t="n"/>
    </row>
    <row r="495">
      <c r="C495" s="42" t="n"/>
    </row>
    <row r="496">
      <c r="C496" s="42" t="n"/>
    </row>
    <row r="497">
      <c r="C497" s="42" t="n"/>
    </row>
    <row r="498">
      <c r="C498" s="42" t="n"/>
    </row>
    <row r="499">
      <c r="C499" s="42" t="n"/>
    </row>
    <row r="500">
      <c r="C500" s="42" t="n"/>
    </row>
  </sheetData>
  <mergeCells count="2">
    <mergeCell ref="A1:D1"/>
    <mergeCell ref="F1:G1"/>
  </mergeCells>
  <pageMargins bottom="0.75" footer="0.3" header="0.3" left="0.7" right="0.7" top="0.75"/>
  <pageSetup orientation="portrait"/>
  <drawing r:id="rId1"/>
  <tableParts count="2">
    <tablePart r:id="rId2"/>
    <tablePart r:id="rId3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Sheet6">
    <tabColor rgb="FFFFFF00"/>
    <outlinePr summaryBelow="1" summaryRight="1"/>
    <pageSetUpPr/>
  </sheetPr>
  <dimension ref="A1:E21"/>
  <sheetViews>
    <sheetView topLeftCell="A8" workbookViewId="0">
      <selection activeCell="I21" sqref="I21"/>
    </sheetView>
  </sheetViews>
  <sheetFormatPr baseColWidth="8" defaultRowHeight="15"/>
  <cols>
    <col customWidth="1" max="1" min="1" style="70" width="26.42578125"/>
    <col customWidth="1" max="2" min="2" style="70" width="20.140625"/>
    <col customWidth="1" max="5" min="3" style="70" width="20"/>
  </cols>
  <sheetData>
    <row customHeight="1" ht="45" r="1" s="70">
      <c r="A1" s="79" t="inlineStr">
        <is>
          <t>School of Civil and Environmental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VLOOKUP(6111,CivilReport!F3:G13,2,FALSE)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VLOOKUP(6113,CivilReport!F3:G13,2,FALSE)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VLOOKUP(6121,CivilReport!F3:G13,2,FALSE)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VLOOKUP(6211,CivilReport!F3:G13,2,FALSE)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VLOOKUP(6212,CivilReport!F3:G13,2,FALSE)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VLOOKUP(6218,CivilReport!F3:G13,2,FALSE)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VLOOKUP(6233,CivilReport!F3:G13,2,FALSE)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VLOOKUP(6240,CivilReport!F3:G13,2,FALSE)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VLOOKUP(6256,CivilReport!F3:G13,2,FALSE)</f>
        <v/>
      </c>
    </row>
    <row customHeight="1" ht="15" r="12" s="70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VLOOKUP(6271,CivilReport!F3:G13,2,FALSE)</f>
        <v/>
      </c>
    </row>
    <row customHeight="1" ht="18.75" r="15" s="70">
      <c r="A15" s="73" t="inlineStr">
        <is>
          <t>Civil Budget Status</t>
        </is>
      </c>
      <c r="B15" s="74" t="n"/>
    </row>
    <row r="16">
      <c r="A16" s="84" t="inlineStr">
        <is>
          <t>Annual Budget</t>
        </is>
      </c>
      <c r="B16" s="28">
        <f>VLOOKUP("Civil Engineering",AAiTFinance!A3:H8,2, 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VLOOKUP("Civil Engineering",AAiTFinance!A3:F8,6,FALSE)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Sheet16">
    <tabColor rgb="FFFFFF00"/>
    <outlinePr summaryBelow="1" summaryRight="1"/>
    <pageSetUpPr/>
  </sheetPr>
  <dimension ref="A1:G501"/>
  <sheetViews>
    <sheetView workbookViewId="0" zoomScaleNormal="100">
      <selection activeCell="G12" sqref="G12"/>
    </sheetView>
  </sheetViews>
  <sheetFormatPr baseColWidth="8" defaultRowHeight="15"/>
  <cols>
    <col customWidth="1" max="1" min="1" style="70" width="20"/>
    <col customWidth="1" max="2" min="2" style="70" width="17"/>
    <col customWidth="1" max="3" min="3" style="70" width="20"/>
    <col customWidth="1" max="4" min="4" style="70" width="17.5703125"/>
    <col customWidth="1" max="5" min="5" style="70" width="6.42578125"/>
    <col customWidth="1" max="6" min="6" style="70" width="20.7109375"/>
    <col customWidth="1" max="7" min="7" style="70" width="21.42578125"/>
  </cols>
  <sheetData>
    <row customHeight="1" ht="42" r="1" s="70">
      <c r="A1" s="82" t="inlineStr">
        <is>
          <t>Budget Report of School of Civil Engineering</t>
        </is>
      </c>
      <c r="F1" s="80" t="inlineStr">
        <is>
          <t>Summarized format of the report Civil engineering</t>
        </is>
      </c>
    </row>
    <row customHeight="1" ht="33" r="2" s="70">
      <c r="A2" s="4" t="inlineStr">
        <is>
          <t>Date</t>
        </is>
      </c>
      <c r="B2" s="4" t="inlineStr">
        <is>
          <t>Budget Code</t>
        </is>
      </c>
      <c r="C2" s="5" t="inlineStr">
        <is>
          <t>Reason for withdrawal</t>
        </is>
      </c>
      <c r="D2" s="4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A3" s="4" t="n"/>
      <c r="B3" s="4" t="n"/>
      <c r="C3" s="44" t="n"/>
      <c r="D3" s="4" t="n"/>
      <c r="F3" s="6" t="n">
        <v>6111</v>
      </c>
      <c r="G3" s="40">
        <f>SUMIF(Table9[Budget Code],"=6111",Table9[Withdrawal])</f>
        <v/>
      </c>
    </row>
    <row r="4">
      <c r="C4" s="42" t="n"/>
      <c r="F4" s="7" t="n">
        <v>6113</v>
      </c>
      <c r="G4" s="40">
        <f>SUMIF(Table9[Budget Code],"=6113", Table9[Withdrawal])</f>
        <v/>
      </c>
    </row>
    <row r="5">
      <c r="C5" s="42" t="n"/>
      <c r="F5" s="7" t="n">
        <v>6121</v>
      </c>
      <c r="G5" s="40">
        <f>SUMIF(Table9[Budget Code],"=6121", Table9[Withdrawal])</f>
        <v/>
      </c>
    </row>
    <row r="6">
      <c r="C6" s="42" t="n"/>
      <c r="F6" s="7" t="n">
        <v>6211</v>
      </c>
      <c r="G6" s="40">
        <f>SUMIF(Table9[Budget Code],"=6211", Table9[Withdrawal])</f>
        <v/>
      </c>
    </row>
    <row r="7">
      <c r="C7" s="42" t="n"/>
      <c r="F7" s="7" t="n">
        <v>6212</v>
      </c>
      <c r="G7" s="40">
        <f>SUMIF(Table9[Budget Code],"=6212", Table9[Withdrawal])</f>
        <v/>
      </c>
    </row>
    <row r="8">
      <c r="C8" s="42" t="n"/>
      <c r="F8" s="7" t="n">
        <v>6218</v>
      </c>
      <c r="G8" s="40">
        <f>SUMIF(Table9[Budget Code],"=6218", Table9[Withdrawal])</f>
        <v/>
      </c>
    </row>
    <row r="9">
      <c r="C9" s="42" t="n"/>
      <c r="F9" s="7" t="n">
        <v>6233</v>
      </c>
      <c r="G9" s="40">
        <f>SUMIF(Table9[Budget Code],"=6233", Table9[Withdrawal])</f>
        <v/>
      </c>
    </row>
    <row r="10">
      <c r="C10" s="42" t="n"/>
      <c r="F10" s="7" t="n">
        <v>6240</v>
      </c>
      <c r="G10" s="40">
        <f>SUMIF(Table9[Budget Code],"=6240", Table9[Withdrawal])</f>
        <v/>
      </c>
    </row>
    <row r="11">
      <c r="C11" s="42" t="n"/>
      <c r="F11" s="7" t="n">
        <v>6256</v>
      </c>
      <c r="G11" s="40">
        <f>SUMIF(Table9[Budget Code],"=6256", Table9[Withdrawal])</f>
        <v/>
      </c>
    </row>
    <row r="12">
      <c r="C12" s="42" t="n"/>
      <c r="F12" s="7" t="n">
        <v>6271</v>
      </c>
      <c r="G12" s="40">
        <f>SUMIF(Table9[Budget Code],"=6271", Table9[Withdrawal])</f>
        <v/>
      </c>
    </row>
    <row r="13">
      <c r="C13" s="42" t="n"/>
      <c r="F13" s="8" t="inlineStr">
        <is>
          <t>Annual Expenditure</t>
        </is>
      </c>
      <c r="G13" s="33">
        <f>SUBTOTAL(109,Table79[Withdrawal])</f>
        <v/>
      </c>
    </row>
    <row r="14">
      <c r="C14" s="42" t="n"/>
    </row>
    <row r="15">
      <c r="C15" s="42" t="n"/>
    </row>
    <row r="16">
      <c r="C16" s="42" t="n"/>
    </row>
    <row r="17">
      <c r="C17" s="42" t="n"/>
    </row>
    <row r="18">
      <c r="C18" s="42" t="n"/>
    </row>
    <row r="19">
      <c r="C19" s="42" t="n"/>
    </row>
    <row r="20">
      <c r="C20" s="42" t="n"/>
    </row>
    <row r="21">
      <c r="C21" s="42" t="n"/>
    </row>
    <row r="22">
      <c r="C22" s="42" t="n"/>
    </row>
    <row r="23">
      <c r="C23" s="42" t="n"/>
    </row>
    <row r="24">
      <c r="C24" s="42" t="n"/>
    </row>
    <row r="25">
      <c r="C25" s="42" t="n"/>
    </row>
    <row r="26">
      <c r="C26" s="42" t="n"/>
    </row>
    <row r="27">
      <c r="C27" s="42" t="n"/>
    </row>
    <row r="28">
      <c r="C28" s="42" t="n"/>
    </row>
    <row r="29">
      <c r="C29" s="42" t="n"/>
    </row>
    <row r="30">
      <c r="C30" s="42" t="n"/>
    </row>
    <row r="31">
      <c r="C31" s="42" t="n"/>
    </row>
    <row r="32">
      <c r="C32" s="42" t="n"/>
    </row>
    <row r="33">
      <c r="C33" s="42" t="n"/>
    </row>
    <row r="34">
      <c r="C34" s="42" t="n"/>
    </row>
    <row r="35">
      <c r="C35" s="42" t="n"/>
    </row>
    <row r="36">
      <c r="C36" s="42" t="n"/>
    </row>
    <row r="37">
      <c r="C37" s="42" t="n"/>
    </row>
    <row r="38">
      <c r="C38" s="42" t="n"/>
    </row>
    <row r="39">
      <c r="C39" s="42" t="n"/>
    </row>
    <row r="40">
      <c r="C40" s="42" t="n"/>
    </row>
    <row r="41">
      <c r="C41" s="42" t="n"/>
    </row>
    <row r="42">
      <c r="C42" s="42" t="n"/>
    </row>
    <row r="43">
      <c r="C43" s="42" t="n"/>
    </row>
    <row r="44">
      <c r="C44" s="42" t="n"/>
    </row>
    <row r="45">
      <c r="C45" s="42" t="n"/>
    </row>
    <row r="46">
      <c r="C46" s="42" t="n"/>
    </row>
    <row r="47">
      <c r="C47" s="42" t="n"/>
    </row>
    <row r="48">
      <c r="C48" s="42" t="n"/>
    </row>
    <row r="49">
      <c r="C49" s="42" t="n"/>
    </row>
    <row r="50">
      <c r="C50" s="42" t="n"/>
    </row>
    <row r="51">
      <c r="C51" s="42" t="n"/>
    </row>
    <row r="52">
      <c r="C52" s="42" t="n"/>
    </row>
    <row r="53">
      <c r="C53" s="42" t="n"/>
    </row>
    <row r="54">
      <c r="C54" s="42" t="n"/>
    </row>
    <row r="55">
      <c r="C55" s="42" t="n"/>
    </row>
    <row r="56">
      <c r="C56" s="42" t="n"/>
    </row>
    <row r="57">
      <c r="C57" s="42" t="n"/>
    </row>
    <row r="58">
      <c r="C58" s="42" t="n"/>
    </row>
    <row r="59">
      <c r="C59" s="42" t="n"/>
    </row>
    <row r="60">
      <c r="C60" s="42" t="n"/>
    </row>
    <row r="61">
      <c r="C61" s="42" t="n"/>
    </row>
    <row r="62">
      <c r="C62" s="42" t="n"/>
    </row>
    <row r="63">
      <c r="C63" s="42" t="n"/>
    </row>
    <row r="64">
      <c r="C64" s="42" t="n"/>
    </row>
    <row r="65">
      <c r="C65" s="42" t="n"/>
    </row>
    <row r="66">
      <c r="C66" s="42" t="n"/>
    </row>
    <row r="67">
      <c r="C67" s="42" t="n"/>
    </row>
    <row r="68">
      <c r="C68" s="42" t="n"/>
    </row>
    <row r="69">
      <c r="C69" s="42" t="n"/>
    </row>
    <row r="70">
      <c r="C70" s="42" t="n"/>
    </row>
    <row r="71">
      <c r="C71" s="42" t="n"/>
    </row>
    <row r="72">
      <c r="C72" s="42" t="n"/>
    </row>
    <row r="73">
      <c r="C73" s="42" t="n"/>
    </row>
    <row r="74">
      <c r="C74" s="42" t="n"/>
    </row>
    <row r="75">
      <c r="C75" s="42" t="n"/>
    </row>
    <row r="76">
      <c r="C76" s="42" t="n"/>
    </row>
    <row r="77">
      <c r="C77" s="42" t="n"/>
    </row>
    <row r="78">
      <c r="C78" s="42" t="n"/>
    </row>
    <row r="79">
      <c r="C79" s="42" t="n"/>
    </row>
    <row r="80">
      <c r="C80" s="42" t="n"/>
    </row>
    <row r="81">
      <c r="C81" s="42" t="n"/>
    </row>
    <row r="82">
      <c r="C82" s="42" t="n"/>
    </row>
    <row r="83">
      <c r="C83" s="42" t="n"/>
    </row>
    <row r="84">
      <c r="C84" s="42" t="n"/>
    </row>
    <row r="85">
      <c r="C85" s="42" t="n"/>
    </row>
    <row r="86">
      <c r="C86" s="42" t="n"/>
    </row>
    <row r="87">
      <c r="C87" s="42" t="n"/>
    </row>
    <row r="88">
      <c r="C88" s="42" t="n"/>
    </row>
    <row r="89">
      <c r="C89" s="42" t="n"/>
    </row>
    <row r="90">
      <c r="C90" s="42" t="n"/>
    </row>
    <row r="91">
      <c r="C91" s="42" t="n"/>
    </row>
    <row r="92">
      <c r="C92" s="42" t="n"/>
    </row>
    <row r="93">
      <c r="C93" s="42" t="n"/>
    </row>
    <row r="94">
      <c r="C94" s="42" t="n"/>
    </row>
    <row r="95">
      <c r="C95" s="42" t="n"/>
    </row>
    <row r="96">
      <c r="C96" s="42" t="n"/>
    </row>
    <row r="97">
      <c r="C97" s="42" t="n"/>
    </row>
    <row r="98">
      <c r="C98" s="42" t="n"/>
    </row>
    <row r="99">
      <c r="C99" s="42" t="n"/>
    </row>
    <row r="100">
      <c r="C100" s="42" t="n"/>
    </row>
    <row r="101">
      <c r="C101" s="42" t="n"/>
    </row>
    <row r="102">
      <c r="C102" s="42" t="n"/>
    </row>
    <row r="103">
      <c r="C103" s="42" t="n"/>
    </row>
    <row r="104">
      <c r="C104" s="42" t="n"/>
    </row>
    <row r="105">
      <c r="C105" s="42" t="n"/>
    </row>
    <row r="106">
      <c r="C106" s="42" t="n"/>
    </row>
    <row r="107">
      <c r="C107" s="42" t="n"/>
    </row>
    <row r="108">
      <c r="C108" s="42" t="n"/>
    </row>
    <row r="109">
      <c r="C109" s="42" t="n"/>
    </row>
    <row r="110">
      <c r="C110" s="42" t="n"/>
    </row>
    <row r="111">
      <c r="C111" s="42" t="n"/>
    </row>
    <row r="112">
      <c r="C112" s="42" t="n"/>
    </row>
    <row r="113">
      <c r="C113" s="42" t="n"/>
    </row>
    <row r="114">
      <c r="C114" s="42" t="n"/>
    </row>
    <row r="115">
      <c r="C115" s="42" t="n"/>
    </row>
    <row r="116">
      <c r="C116" s="42" t="n"/>
    </row>
    <row r="117">
      <c r="C117" s="42" t="n"/>
    </row>
    <row r="118">
      <c r="C118" s="42" t="n"/>
    </row>
    <row r="119">
      <c r="C119" s="42" t="n"/>
    </row>
    <row r="120">
      <c r="C120" s="42" t="n"/>
    </row>
    <row r="121">
      <c r="C121" s="42" t="n"/>
    </row>
    <row r="122">
      <c r="C122" s="42" t="n"/>
    </row>
    <row r="123">
      <c r="C123" s="42" t="n"/>
    </row>
    <row r="124">
      <c r="C124" s="42" t="n"/>
    </row>
    <row r="125">
      <c r="C125" s="42" t="n"/>
    </row>
    <row r="126">
      <c r="C126" s="42" t="n"/>
    </row>
    <row r="127">
      <c r="C127" s="42" t="n"/>
    </row>
    <row r="128">
      <c r="C128" s="42" t="n"/>
    </row>
    <row r="129">
      <c r="C129" s="42" t="n"/>
    </row>
    <row r="130">
      <c r="C130" s="42" t="n"/>
    </row>
    <row r="131">
      <c r="C131" s="42" t="n"/>
    </row>
    <row r="132">
      <c r="C132" s="42" t="n"/>
    </row>
    <row r="133">
      <c r="C133" s="42" t="n"/>
    </row>
    <row r="134">
      <c r="C134" s="42" t="n"/>
    </row>
    <row r="135">
      <c r="C135" s="42" t="n"/>
    </row>
    <row r="136">
      <c r="C136" s="42" t="n"/>
    </row>
    <row r="137">
      <c r="C137" s="42" t="n"/>
    </row>
    <row r="138">
      <c r="C138" s="42" t="n"/>
    </row>
    <row r="139">
      <c r="C139" s="42" t="n"/>
    </row>
    <row r="140">
      <c r="C140" s="42" t="n"/>
    </row>
    <row r="141">
      <c r="C141" s="42" t="n"/>
    </row>
    <row r="142">
      <c r="C142" s="42" t="n"/>
    </row>
    <row r="143">
      <c r="C143" s="42" t="n"/>
    </row>
    <row r="144">
      <c r="C144" s="42" t="n"/>
    </row>
    <row r="145">
      <c r="C145" s="42" t="n"/>
    </row>
    <row r="146">
      <c r="C146" s="42" t="n"/>
    </row>
    <row r="147">
      <c r="C147" s="42" t="n"/>
    </row>
    <row r="148">
      <c r="C148" s="42" t="n"/>
    </row>
    <row r="149">
      <c r="C149" s="42" t="n"/>
    </row>
    <row r="150">
      <c r="C150" s="42" t="n"/>
    </row>
    <row r="151">
      <c r="C151" s="42" t="n"/>
    </row>
    <row r="152">
      <c r="C152" s="42" t="n"/>
    </row>
    <row r="153">
      <c r="C153" s="42" t="n"/>
    </row>
    <row r="154">
      <c r="C154" s="42" t="n"/>
    </row>
    <row r="155">
      <c r="C155" s="42" t="n"/>
    </row>
    <row r="156">
      <c r="C156" s="42" t="n"/>
    </row>
    <row r="157">
      <c r="C157" s="42" t="n"/>
    </row>
    <row r="158">
      <c r="C158" s="42" t="n"/>
    </row>
    <row r="159">
      <c r="C159" s="42" t="n"/>
    </row>
    <row r="160">
      <c r="C160" s="42" t="n"/>
    </row>
    <row r="161">
      <c r="C161" s="42" t="n"/>
    </row>
    <row r="162">
      <c r="C162" s="42" t="n"/>
    </row>
    <row r="163">
      <c r="C163" s="42" t="n"/>
    </row>
    <row r="164">
      <c r="C164" s="42" t="n"/>
    </row>
    <row r="165">
      <c r="C165" s="42" t="n"/>
    </row>
    <row r="166">
      <c r="C166" s="42" t="n"/>
    </row>
    <row r="167">
      <c r="C167" s="42" t="n"/>
    </row>
    <row r="168">
      <c r="C168" s="42" t="n"/>
    </row>
    <row r="169">
      <c r="C169" s="42" t="n"/>
    </row>
    <row r="170">
      <c r="C170" s="42" t="n"/>
    </row>
    <row r="171">
      <c r="C171" s="42" t="n"/>
    </row>
    <row r="172">
      <c r="C172" s="42" t="n"/>
    </row>
    <row r="173">
      <c r="C173" s="42" t="n"/>
    </row>
    <row r="174">
      <c r="C174" s="42" t="n"/>
    </row>
    <row r="175">
      <c r="C175" s="42" t="n"/>
    </row>
    <row r="176">
      <c r="C176" s="42" t="n"/>
    </row>
    <row r="177">
      <c r="C177" s="42" t="n"/>
    </row>
    <row r="178">
      <c r="C178" s="42" t="n"/>
    </row>
    <row r="179">
      <c r="C179" s="42" t="n"/>
    </row>
    <row r="180">
      <c r="C180" s="42" t="n"/>
    </row>
    <row r="181">
      <c r="C181" s="42" t="n"/>
    </row>
    <row r="182">
      <c r="C182" s="42" t="n"/>
    </row>
    <row r="183">
      <c r="C183" s="42" t="n"/>
    </row>
    <row r="184">
      <c r="C184" s="42" t="n"/>
    </row>
    <row r="185">
      <c r="C185" s="42" t="n"/>
    </row>
    <row r="186">
      <c r="C186" s="42" t="n"/>
    </row>
    <row r="187">
      <c r="C187" s="42" t="n"/>
    </row>
    <row r="188">
      <c r="C188" s="42" t="n"/>
    </row>
    <row r="189">
      <c r="C189" s="42" t="n"/>
    </row>
    <row r="190">
      <c r="C190" s="42" t="n"/>
    </row>
    <row r="191">
      <c r="C191" s="42" t="n"/>
    </row>
    <row r="192">
      <c r="C192" s="42" t="n"/>
    </row>
    <row r="193">
      <c r="C193" s="42" t="n"/>
    </row>
    <row r="194">
      <c r="C194" s="42" t="n"/>
    </row>
    <row r="195">
      <c r="C195" s="42" t="n"/>
    </row>
    <row r="196">
      <c r="C196" s="42" t="n"/>
    </row>
    <row r="197">
      <c r="C197" s="42" t="n"/>
    </row>
    <row r="198">
      <c r="C198" s="42" t="n"/>
    </row>
    <row r="199">
      <c r="C199" s="42" t="n"/>
    </row>
    <row r="200">
      <c r="C200" s="42" t="n"/>
    </row>
    <row r="201">
      <c r="C201" s="42" t="n"/>
    </row>
    <row r="202">
      <c r="C202" s="42" t="n"/>
    </row>
    <row r="203">
      <c r="C203" s="42" t="n"/>
    </row>
    <row r="204">
      <c r="C204" s="42" t="n"/>
    </row>
    <row r="205">
      <c r="C205" s="42" t="n"/>
    </row>
    <row r="206">
      <c r="C206" s="42" t="n"/>
    </row>
    <row r="207">
      <c r="C207" s="42" t="n"/>
    </row>
    <row r="208">
      <c r="C208" s="42" t="n"/>
    </row>
    <row r="209">
      <c r="C209" s="42" t="n"/>
    </row>
    <row r="210">
      <c r="C210" s="42" t="n"/>
    </row>
    <row r="211">
      <c r="C211" s="42" t="n"/>
    </row>
    <row r="212">
      <c r="C212" s="42" t="n"/>
    </row>
    <row r="213">
      <c r="C213" s="42" t="n"/>
    </row>
    <row r="214">
      <c r="C214" s="42" t="n"/>
    </row>
    <row r="215">
      <c r="C215" s="42" t="n"/>
    </row>
    <row r="216">
      <c r="C216" s="42" t="n"/>
    </row>
    <row r="217">
      <c r="C217" s="42" t="n"/>
    </row>
    <row r="218">
      <c r="C218" s="42" t="n"/>
    </row>
    <row r="219">
      <c r="C219" s="42" t="n"/>
    </row>
    <row r="220">
      <c r="C220" s="42" t="n"/>
    </row>
    <row r="221">
      <c r="C221" s="42" t="n"/>
    </row>
    <row r="222">
      <c r="C222" s="42" t="n"/>
    </row>
    <row r="223">
      <c r="C223" s="42" t="n"/>
    </row>
    <row r="224">
      <c r="C224" s="42" t="n"/>
    </row>
    <row r="225">
      <c r="C225" s="42" t="n"/>
    </row>
    <row r="226">
      <c r="C226" s="42" t="n"/>
    </row>
    <row r="227">
      <c r="C227" s="42" t="n"/>
    </row>
    <row r="228">
      <c r="C228" s="42" t="n"/>
    </row>
    <row r="229">
      <c r="C229" s="42" t="n"/>
    </row>
    <row r="230">
      <c r="C230" s="42" t="n"/>
    </row>
    <row r="231">
      <c r="C231" s="42" t="n"/>
    </row>
    <row r="232">
      <c r="C232" s="42" t="n"/>
    </row>
    <row r="233">
      <c r="C233" s="42" t="n"/>
    </row>
    <row r="234">
      <c r="C234" s="42" t="n"/>
    </row>
    <row r="235">
      <c r="C235" s="42" t="n"/>
    </row>
    <row r="236">
      <c r="C236" s="42" t="n"/>
    </row>
    <row r="237">
      <c r="C237" s="42" t="n"/>
    </row>
    <row r="238">
      <c r="C238" s="42" t="n"/>
    </row>
    <row r="239">
      <c r="C239" s="42" t="n"/>
    </row>
    <row r="240">
      <c r="C240" s="42" t="n"/>
    </row>
    <row r="241">
      <c r="C241" s="42" t="n"/>
    </row>
    <row r="242">
      <c r="C242" s="42" t="n"/>
    </row>
    <row r="243">
      <c r="C243" s="42" t="n"/>
    </row>
    <row r="244">
      <c r="C244" s="42" t="n"/>
    </row>
    <row r="245">
      <c r="C245" s="42" t="n"/>
    </row>
    <row r="246">
      <c r="C246" s="42" t="n"/>
    </row>
    <row r="247">
      <c r="C247" s="42" t="n"/>
    </row>
    <row r="248">
      <c r="C248" s="42" t="n"/>
    </row>
    <row r="249">
      <c r="C249" s="42" t="n"/>
    </row>
    <row r="250">
      <c r="C250" s="42" t="n"/>
    </row>
    <row r="251">
      <c r="C251" s="42" t="n"/>
    </row>
    <row r="252">
      <c r="C252" s="42" t="n"/>
    </row>
    <row r="253">
      <c r="C253" s="42" t="n"/>
    </row>
    <row r="254">
      <c r="C254" s="42" t="n"/>
    </row>
    <row r="255">
      <c r="C255" s="42" t="n"/>
    </row>
    <row r="256">
      <c r="C256" s="42" t="n"/>
    </row>
    <row r="257">
      <c r="C257" s="42" t="n"/>
    </row>
    <row r="258">
      <c r="C258" s="42" t="n"/>
    </row>
    <row r="259">
      <c r="C259" s="42" t="n"/>
    </row>
    <row r="260">
      <c r="C260" s="42" t="n"/>
    </row>
    <row r="261">
      <c r="C261" s="42" t="n"/>
    </row>
    <row r="262">
      <c r="C262" s="42" t="n"/>
    </row>
    <row r="263">
      <c r="C263" s="42" t="n"/>
    </row>
    <row r="264">
      <c r="C264" s="42" t="n"/>
    </row>
    <row r="265">
      <c r="C265" s="42" t="n"/>
    </row>
    <row r="266">
      <c r="C266" s="42" t="n"/>
    </row>
    <row r="267">
      <c r="C267" s="42" t="n"/>
    </row>
    <row r="268">
      <c r="C268" s="42" t="n"/>
    </row>
    <row r="269">
      <c r="C269" s="42" t="n"/>
    </row>
    <row r="270">
      <c r="C270" s="42" t="n"/>
    </row>
    <row r="271">
      <c r="C271" s="42" t="n"/>
    </row>
    <row r="272">
      <c r="C272" s="42" t="n"/>
    </row>
    <row r="273">
      <c r="C273" s="42" t="n"/>
    </row>
    <row r="274">
      <c r="C274" s="42" t="n"/>
    </row>
    <row r="275">
      <c r="C275" s="42" t="n"/>
    </row>
    <row r="276">
      <c r="C276" s="42" t="n"/>
    </row>
    <row r="277">
      <c r="C277" s="42" t="n"/>
    </row>
    <row r="278">
      <c r="C278" s="42" t="n"/>
    </row>
    <row r="279">
      <c r="C279" s="42" t="n"/>
    </row>
    <row r="280">
      <c r="C280" s="42" t="n"/>
    </row>
    <row r="281">
      <c r="C281" s="42" t="n"/>
    </row>
    <row r="282">
      <c r="C282" s="42" t="n"/>
    </row>
    <row r="283">
      <c r="C283" s="42" t="n"/>
    </row>
    <row r="284">
      <c r="C284" s="42" t="n"/>
    </row>
    <row r="285">
      <c r="C285" s="42" t="n"/>
    </row>
    <row r="286">
      <c r="C286" s="42" t="n"/>
    </row>
    <row r="287">
      <c r="C287" s="42" t="n"/>
    </row>
    <row r="288">
      <c r="C288" s="42" t="n"/>
    </row>
    <row r="289">
      <c r="C289" s="42" t="n"/>
    </row>
    <row r="290">
      <c r="C290" s="42" t="n"/>
    </row>
    <row r="291">
      <c r="C291" s="42" t="n"/>
    </row>
    <row r="292">
      <c r="C292" s="42" t="n"/>
    </row>
    <row r="293">
      <c r="C293" s="42" t="n"/>
    </row>
    <row r="294">
      <c r="C294" s="42" t="n"/>
    </row>
    <row r="295">
      <c r="C295" s="42" t="n"/>
    </row>
    <row r="296">
      <c r="C296" s="42" t="n"/>
    </row>
    <row r="297">
      <c r="C297" s="42" t="n"/>
    </row>
    <row r="298">
      <c r="C298" s="42" t="n"/>
    </row>
    <row r="299">
      <c r="C299" s="42" t="n"/>
    </row>
    <row r="300">
      <c r="C300" s="42" t="n"/>
    </row>
    <row r="301">
      <c r="C301" s="42" t="n"/>
    </row>
    <row r="302">
      <c r="C302" s="42" t="n"/>
    </row>
    <row r="303">
      <c r="C303" s="42" t="n"/>
    </row>
    <row r="304">
      <c r="C304" s="42" t="n"/>
    </row>
    <row r="305">
      <c r="C305" s="42" t="n"/>
    </row>
    <row r="306">
      <c r="C306" s="42" t="n"/>
    </row>
    <row r="307">
      <c r="C307" s="42" t="n"/>
    </row>
    <row r="308">
      <c r="C308" s="42" t="n"/>
    </row>
    <row r="309">
      <c r="C309" s="42" t="n"/>
    </row>
    <row r="310">
      <c r="C310" s="42" t="n"/>
    </row>
    <row r="311">
      <c r="C311" s="42" t="n"/>
    </row>
    <row r="312">
      <c r="C312" s="42" t="n"/>
    </row>
    <row r="313">
      <c r="C313" s="42" t="n"/>
    </row>
    <row r="314">
      <c r="C314" s="42" t="n"/>
    </row>
    <row r="315">
      <c r="C315" s="42" t="n"/>
    </row>
    <row r="316">
      <c r="C316" s="42" t="n"/>
    </row>
    <row r="317">
      <c r="C317" s="42" t="n"/>
    </row>
    <row r="318">
      <c r="C318" s="42" t="n"/>
    </row>
    <row r="319">
      <c r="C319" s="42" t="n"/>
    </row>
    <row r="320">
      <c r="C320" s="42" t="n"/>
    </row>
    <row r="321">
      <c r="C321" s="42" t="n"/>
    </row>
    <row r="322">
      <c r="C322" s="42" t="n"/>
    </row>
    <row r="323">
      <c r="C323" s="42" t="n"/>
    </row>
    <row r="324">
      <c r="C324" s="42" t="n"/>
    </row>
    <row r="325">
      <c r="C325" s="42" t="n"/>
    </row>
    <row r="326">
      <c r="C326" s="42" t="n"/>
    </row>
    <row r="327">
      <c r="C327" s="42" t="n"/>
    </row>
    <row r="328">
      <c r="C328" s="42" t="n"/>
    </row>
    <row r="329">
      <c r="C329" s="42" t="n"/>
    </row>
    <row r="330">
      <c r="C330" s="42" t="n"/>
    </row>
    <row r="331">
      <c r="C331" s="42" t="n"/>
    </row>
    <row r="332">
      <c r="C332" s="42" t="n"/>
    </row>
    <row r="333">
      <c r="C333" s="42" t="n"/>
    </row>
    <row r="334">
      <c r="C334" s="42" t="n"/>
    </row>
    <row r="335">
      <c r="C335" s="42" t="n"/>
    </row>
    <row r="336">
      <c r="C336" s="42" t="n"/>
    </row>
    <row r="337">
      <c r="C337" s="42" t="n"/>
    </row>
    <row r="338">
      <c r="C338" s="42" t="n"/>
    </row>
    <row r="339">
      <c r="C339" s="42" t="n"/>
    </row>
    <row r="340">
      <c r="C340" s="42" t="n"/>
    </row>
    <row r="341">
      <c r="C341" s="42" t="n"/>
    </row>
    <row r="342">
      <c r="C342" s="42" t="n"/>
    </row>
    <row r="343">
      <c r="C343" s="42" t="n"/>
    </row>
    <row r="344">
      <c r="C344" s="42" t="n"/>
    </row>
    <row r="345">
      <c r="C345" s="42" t="n"/>
    </row>
    <row r="346">
      <c r="C346" s="42" t="n"/>
    </row>
    <row r="347">
      <c r="C347" s="42" t="n"/>
    </row>
    <row r="348">
      <c r="C348" s="42" t="n"/>
    </row>
    <row r="349">
      <c r="C349" s="42" t="n"/>
    </row>
    <row r="350">
      <c r="C350" s="42" t="n"/>
    </row>
    <row r="351">
      <c r="C351" s="42" t="n"/>
    </row>
    <row r="352">
      <c r="C352" s="42" t="n"/>
    </row>
    <row r="353">
      <c r="C353" s="42" t="n"/>
    </row>
    <row r="354">
      <c r="C354" s="42" t="n"/>
    </row>
    <row r="355">
      <c r="C355" s="42" t="n"/>
    </row>
    <row r="356">
      <c r="C356" s="42" t="n"/>
    </row>
    <row r="357">
      <c r="C357" s="42" t="n"/>
    </row>
    <row r="358">
      <c r="C358" s="42" t="n"/>
    </row>
    <row r="359">
      <c r="C359" s="42" t="n"/>
    </row>
    <row r="360">
      <c r="C360" s="42" t="n"/>
    </row>
    <row r="361">
      <c r="C361" s="42" t="n"/>
    </row>
    <row r="362">
      <c r="C362" s="42" t="n"/>
    </row>
    <row r="363">
      <c r="C363" s="42" t="n"/>
    </row>
    <row r="364">
      <c r="C364" s="42" t="n"/>
    </row>
    <row r="365">
      <c r="C365" s="42" t="n"/>
    </row>
    <row r="366">
      <c r="C366" s="42" t="n"/>
    </row>
    <row r="367">
      <c r="C367" s="42" t="n"/>
    </row>
    <row r="368">
      <c r="C368" s="42" t="n"/>
    </row>
    <row r="369">
      <c r="C369" s="42" t="n"/>
    </row>
    <row r="370">
      <c r="C370" s="42" t="n"/>
    </row>
    <row r="371">
      <c r="C371" s="42" t="n"/>
    </row>
    <row r="372">
      <c r="C372" s="42" t="n"/>
    </row>
    <row r="373">
      <c r="C373" s="42" t="n"/>
    </row>
    <row r="374">
      <c r="C374" s="42" t="n"/>
    </row>
    <row r="375">
      <c r="C375" s="42" t="n"/>
    </row>
    <row r="376">
      <c r="C376" s="42" t="n"/>
    </row>
    <row r="377">
      <c r="C377" s="42" t="n"/>
    </row>
    <row r="378">
      <c r="C378" s="42" t="n"/>
    </row>
    <row r="379">
      <c r="C379" s="42" t="n"/>
    </row>
    <row r="380">
      <c r="C380" s="42" t="n"/>
    </row>
    <row r="381">
      <c r="C381" s="42" t="n"/>
    </row>
    <row r="382">
      <c r="C382" s="42" t="n"/>
    </row>
    <row r="383">
      <c r="C383" s="42" t="n"/>
    </row>
    <row r="384">
      <c r="C384" s="42" t="n"/>
    </row>
    <row r="385">
      <c r="C385" s="42" t="n"/>
    </row>
    <row r="386">
      <c r="C386" s="42" t="n"/>
    </row>
    <row r="387">
      <c r="C387" s="42" t="n"/>
    </row>
    <row r="388">
      <c r="C388" s="42" t="n"/>
    </row>
    <row r="389">
      <c r="C389" s="42" t="n"/>
    </row>
    <row r="390">
      <c r="C390" s="42" t="n"/>
    </row>
    <row r="391">
      <c r="C391" s="42" t="n"/>
    </row>
    <row r="392">
      <c r="C392" s="42" t="n"/>
    </row>
    <row r="393">
      <c r="C393" s="42" t="n"/>
    </row>
    <row r="394">
      <c r="C394" s="42" t="n"/>
    </row>
    <row r="395">
      <c r="C395" s="42" t="n"/>
    </row>
    <row r="396">
      <c r="C396" s="42" t="n"/>
    </row>
    <row r="397">
      <c r="C397" s="42" t="n"/>
    </row>
    <row r="398">
      <c r="C398" s="42" t="n"/>
    </row>
    <row r="399">
      <c r="C399" s="42" t="n"/>
    </row>
    <row r="400">
      <c r="C400" s="42" t="n"/>
    </row>
    <row r="401">
      <c r="C401" s="42" t="n"/>
    </row>
    <row r="402">
      <c r="C402" s="42" t="n"/>
    </row>
    <row r="403">
      <c r="C403" s="42" t="n"/>
    </row>
    <row r="404">
      <c r="C404" s="42" t="n"/>
    </row>
    <row r="405">
      <c r="C405" s="42" t="n"/>
    </row>
    <row r="406">
      <c r="C406" s="42" t="n"/>
    </row>
    <row r="407">
      <c r="C407" s="42" t="n"/>
    </row>
    <row r="408">
      <c r="C408" s="42" t="n"/>
    </row>
    <row r="409">
      <c r="C409" s="42" t="n"/>
    </row>
    <row r="410">
      <c r="C410" s="42" t="n"/>
    </row>
    <row r="411">
      <c r="C411" s="42" t="n"/>
    </row>
    <row r="412">
      <c r="C412" s="42" t="n"/>
    </row>
    <row r="413">
      <c r="C413" s="42" t="n"/>
    </row>
    <row r="414">
      <c r="C414" s="42" t="n"/>
    </row>
    <row r="415">
      <c r="C415" s="42" t="n"/>
    </row>
    <row r="416">
      <c r="C416" s="42" t="n"/>
    </row>
    <row r="417">
      <c r="C417" s="42" t="n"/>
    </row>
    <row r="418">
      <c r="C418" s="42" t="n"/>
    </row>
    <row r="419">
      <c r="C419" s="42" t="n"/>
    </row>
    <row r="420">
      <c r="C420" s="42" t="n"/>
    </row>
    <row r="421">
      <c r="C421" s="42" t="n"/>
    </row>
    <row r="422">
      <c r="C422" s="42" t="n"/>
    </row>
    <row r="423">
      <c r="C423" s="42" t="n"/>
    </row>
    <row r="424">
      <c r="C424" s="42" t="n"/>
    </row>
    <row r="425">
      <c r="C425" s="42" t="n"/>
    </row>
    <row r="426">
      <c r="C426" s="42" t="n"/>
    </row>
    <row r="427">
      <c r="C427" s="42" t="n"/>
    </row>
    <row r="428">
      <c r="C428" s="42" t="n"/>
    </row>
    <row r="429">
      <c r="C429" s="42" t="n"/>
    </row>
    <row r="430">
      <c r="C430" s="42" t="n"/>
    </row>
    <row r="431">
      <c r="C431" s="42" t="n"/>
    </row>
    <row r="432">
      <c r="C432" s="42" t="n"/>
    </row>
    <row r="433">
      <c r="C433" s="42" t="n"/>
    </row>
    <row r="434">
      <c r="C434" s="42" t="n"/>
    </row>
    <row r="435">
      <c r="C435" s="42" t="n"/>
    </row>
    <row r="436">
      <c r="C436" s="42" t="n"/>
    </row>
    <row r="437">
      <c r="C437" s="42" t="n"/>
    </row>
    <row r="438">
      <c r="C438" s="42" t="n"/>
    </row>
    <row r="439">
      <c r="C439" s="42" t="n"/>
    </row>
    <row r="440">
      <c r="C440" s="42" t="n"/>
    </row>
    <row r="441">
      <c r="C441" s="42" t="n"/>
    </row>
    <row r="442">
      <c r="C442" s="42" t="n"/>
    </row>
    <row r="443">
      <c r="C443" s="42" t="n"/>
    </row>
    <row r="444">
      <c r="C444" s="42" t="n"/>
    </row>
    <row r="445">
      <c r="C445" s="42" t="n"/>
    </row>
    <row r="446">
      <c r="C446" s="42" t="n"/>
    </row>
    <row r="447">
      <c r="C447" s="42" t="n"/>
    </row>
    <row r="448">
      <c r="C448" s="42" t="n"/>
    </row>
    <row r="449">
      <c r="C449" s="42" t="n"/>
    </row>
    <row r="450">
      <c r="C450" s="42" t="n"/>
    </row>
    <row r="451">
      <c r="C451" s="42" t="n"/>
    </row>
    <row r="452">
      <c r="C452" s="42" t="n"/>
    </row>
    <row r="453">
      <c r="C453" s="42" t="n"/>
    </row>
    <row r="454">
      <c r="C454" s="42" t="n"/>
    </row>
    <row r="455">
      <c r="C455" s="42" t="n"/>
    </row>
    <row r="456">
      <c r="C456" s="42" t="n"/>
    </row>
    <row r="457">
      <c r="C457" s="42" t="n"/>
    </row>
    <row r="458">
      <c r="C458" s="42" t="n"/>
    </row>
    <row r="459">
      <c r="C459" s="42" t="n"/>
    </row>
    <row r="460">
      <c r="C460" s="42" t="n"/>
    </row>
    <row r="461">
      <c r="C461" s="42" t="n"/>
    </row>
    <row r="462">
      <c r="C462" s="42" t="n"/>
    </row>
    <row r="463">
      <c r="C463" s="42" t="n"/>
    </row>
    <row r="464">
      <c r="C464" s="42" t="n"/>
    </row>
    <row r="465">
      <c r="C465" s="42" t="n"/>
    </row>
    <row r="466">
      <c r="C466" s="42" t="n"/>
    </row>
    <row r="467">
      <c r="C467" s="42" t="n"/>
    </row>
    <row r="468">
      <c r="C468" s="42" t="n"/>
    </row>
    <row r="469">
      <c r="C469" s="42" t="n"/>
    </row>
    <row r="470">
      <c r="C470" s="42" t="n"/>
    </row>
    <row r="471">
      <c r="C471" s="42" t="n"/>
    </row>
    <row r="472">
      <c r="C472" s="42" t="n"/>
    </row>
    <row r="473">
      <c r="C473" s="42" t="n"/>
    </row>
    <row r="474">
      <c r="C474" s="42" t="n"/>
    </row>
    <row r="475">
      <c r="C475" s="42" t="n"/>
    </row>
    <row r="476">
      <c r="C476" s="42" t="n"/>
    </row>
    <row r="477">
      <c r="C477" s="42" t="n"/>
    </row>
    <row r="478">
      <c r="C478" s="42" t="n"/>
    </row>
    <row r="479">
      <c r="C479" s="42" t="n"/>
    </row>
    <row r="480">
      <c r="C480" s="42" t="n"/>
    </row>
    <row r="481">
      <c r="C481" s="42" t="n"/>
    </row>
    <row r="482">
      <c r="C482" s="42" t="n"/>
    </row>
    <row r="483">
      <c r="C483" s="42" t="n"/>
    </row>
    <row r="484">
      <c r="C484" s="42" t="n"/>
    </row>
    <row r="485">
      <c r="C485" s="42" t="n"/>
    </row>
    <row r="486">
      <c r="C486" s="42" t="n"/>
    </row>
    <row r="487">
      <c r="C487" s="42" t="n"/>
    </row>
    <row r="488">
      <c r="C488" s="42" t="n"/>
    </row>
    <row r="489">
      <c r="C489" s="42" t="n"/>
    </row>
    <row r="490">
      <c r="C490" s="42" t="n"/>
    </row>
    <row r="491">
      <c r="C491" s="42" t="n"/>
    </row>
    <row r="492">
      <c r="C492" s="42" t="n"/>
    </row>
    <row r="493">
      <c r="C493" s="42" t="n"/>
    </row>
    <row r="494">
      <c r="C494" s="42" t="n"/>
    </row>
    <row r="495">
      <c r="C495" s="42" t="n"/>
    </row>
    <row r="496">
      <c r="C496" s="42" t="n"/>
    </row>
    <row r="497">
      <c r="C497" s="42" t="n"/>
    </row>
    <row r="498">
      <c r="C498" s="42" t="n"/>
    </row>
    <row r="499">
      <c r="C499" s="42" t="n"/>
    </row>
    <row r="500">
      <c r="C500" s="42" t="n"/>
    </row>
    <row r="501">
      <c r="C501" s="42" t="n"/>
    </row>
  </sheetData>
  <mergeCells count="2">
    <mergeCell ref="A1:D1"/>
    <mergeCell ref="F1:G1"/>
  </mergeCells>
  <pageMargins bottom="0.75" footer="0.3" header="0.3" left="0.7" right="0.7" top="0.75"/>
  <pageSetup orientation="portrait"/>
  <drawing r:id="rId1"/>
  <tableParts count="2">
    <tablePart r:id="rId2"/>
    <tablePart r:id="rId3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Sheet7">
    <tabColor rgb="FFFFFF00"/>
    <outlinePr summaryBelow="1" summaryRight="1"/>
    <pageSetUpPr/>
  </sheetPr>
  <dimension ref="A1:E21"/>
  <sheetViews>
    <sheetView workbookViewId="0">
      <selection activeCell="G10" sqref="G10"/>
    </sheetView>
  </sheetViews>
  <sheetFormatPr baseColWidth="8" defaultRowHeight="15"/>
  <cols>
    <col customWidth="1" max="1" min="1" style="70" width="25.140625"/>
    <col customWidth="1" max="3" min="2" style="70" width="20"/>
    <col customWidth="1" max="4" min="4" style="70" width="25.140625"/>
    <col customWidth="1" max="5" min="5" style="70" width="23.42578125"/>
  </cols>
  <sheetData>
    <row customHeight="1" ht="45" r="1" s="70">
      <c r="A1" s="79" t="inlineStr">
        <is>
          <t>School of Electrical and Computer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VLOOKUP(6111,ElectricalReport!F3:G13,2,FALSE)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VLOOKUP(6113,ElectricalReport!F3:G13,2,FALSE)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VLOOKUP(6211,ElectricalReport!F3:G13,2,FALSE)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VLOOKUP(6211,ElectricalReport!F3:G13,2,FALSE)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VLOOKUP(6212,ElectricalReport!F3:G13,2,FALSE)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VLOOKUP(6218,ElectricalReport!F3:G13,2,FALSE)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VLOOKUP(6233,ElectricalReport!F3:G13,2,FALSE)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VLOOKUP(6240,ElectricalReport!F3:G13,2,FALSE)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VLOOKUP(6256,ElectricalReport!F3:G13,2,FALSE)</f>
        <v/>
      </c>
    </row>
    <row customHeight="1" ht="15" r="12" s="70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VLOOKUP(6271,ElectricalReport!F3:G13,2,FALSE)</f>
        <v/>
      </c>
    </row>
    <row customHeight="1" ht="18.75" r="15" s="70">
      <c r="A15" s="73" t="inlineStr">
        <is>
          <t>Electrical Budget Staus</t>
        </is>
      </c>
      <c r="B15" s="74" t="n"/>
    </row>
    <row r="16">
      <c r="A16" s="84" t="inlineStr">
        <is>
          <t>Annual Budget</t>
        </is>
      </c>
      <c r="B16" s="28">
        <f>VLOOKUP("Electrical Engineering", AAiTFinance!A3:G8,2,FALSE)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VLOOKUP("Electrical Engineering",AAiTFinance!A3:F8,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Sheet17">
    <tabColor rgb="FFFFFF00"/>
    <outlinePr summaryBelow="1" summaryRight="1"/>
    <pageSetUpPr/>
  </sheetPr>
  <dimension ref="A1:G501"/>
  <sheetViews>
    <sheetView workbookViewId="0" zoomScaleNormal="100">
      <selection activeCell="G3" sqref="G3"/>
    </sheetView>
  </sheetViews>
  <sheetFormatPr baseColWidth="8" defaultRowHeight="15"/>
  <cols>
    <col customWidth="1" max="2" min="1" style="70" width="17.140625"/>
    <col customWidth="1" max="3" min="3" style="70" width="20"/>
    <col customWidth="1" max="4" min="4" style="70" width="20.28515625"/>
    <col customWidth="1" max="6" min="6" style="70" width="21.140625"/>
    <col customWidth="1" max="7" min="7" style="70" width="20.7109375"/>
  </cols>
  <sheetData>
    <row customHeight="1" ht="37.5" r="1" s="70">
      <c r="A1" s="80" t="inlineStr">
        <is>
          <t>Budget Report of School of Electrical and Computer Engineering</t>
        </is>
      </c>
      <c r="F1" s="80" t="inlineStr">
        <is>
          <t>Summarized format of the report Electrical engineering</t>
        </is>
      </c>
    </row>
    <row customHeight="1" ht="30" r="2" s="70">
      <c r="A2" t="inlineStr">
        <is>
          <t>Date</t>
        </is>
      </c>
      <c r="B2" t="inlineStr">
        <is>
          <t>Budget Code</t>
        </is>
      </c>
      <c r="C2" s="3" t="inlineStr">
        <is>
          <t>Reasons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C3" s="42" t="n"/>
      <c r="D3" s="40" t="n"/>
      <c r="F3" s="6" t="n">
        <v>6111</v>
      </c>
      <c r="G3" s="40">
        <f>SUMIF(Table11[Budget Code],"=6111", Table11[Reasons for withdrawal])</f>
        <v/>
      </c>
    </row>
    <row r="4">
      <c r="C4" s="42" t="n"/>
      <c r="D4" s="40" t="n"/>
      <c r="F4" s="7" t="n">
        <v>6113</v>
      </c>
      <c r="G4" s="40">
        <f>SUMIF(Table11[Budget Code],"=6113", Table11[Reasons for withdrawal])</f>
        <v/>
      </c>
    </row>
    <row r="5">
      <c r="C5" s="42" t="n"/>
      <c r="D5" s="40" t="n"/>
      <c r="F5" s="7" t="n">
        <v>6121</v>
      </c>
      <c r="G5" s="40">
        <f>SUMIF(Table11[Budget Code],"=6121", Table11[Reasons for withdrawal])</f>
        <v/>
      </c>
    </row>
    <row r="6">
      <c r="C6" s="42" t="n"/>
      <c r="D6" s="40" t="n"/>
      <c r="F6" s="7" t="n">
        <v>6211</v>
      </c>
      <c r="G6" s="40">
        <f>SUMIF(Table11[Budget Code],"=6211", Table11[Reasons for withdrawal])</f>
        <v/>
      </c>
    </row>
    <row r="7">
      <c r="C7" s="42" t="n"/>
      <c r="D7" s="40" t="n"/>
      <c r="F7" s="7" t="n">
        <v>6212</v>
      </c>
      <c r="G7" s="40">
        <f>SUMIF(Table11[Budget Code],"=6212", Table11[Reasons for withdrawal])</f>
        <v/>
      </c>
    </row>
    <row r="8">
      <c r="C8" s="42" t="n"/>
      <c r="D8" s="40" t="n"/>
      <c r="F8" s="7" t="n">
        <v>6218</v>
      </c>
      <c r="G8" s="40">
        <f>SUMIF(Table11[Budget Code],"=6218", Table11[Reasons for withdrawal])</f>
        <v/>
      </c>
    </row>
    <row r="9">
      <c r="C9" s="42" t="n"/>
      <c r="D9" s="40" t="n"/>
      <c r="F9" s="7" t="n">
        <v>6233</v>
      </c>
      <c r="G9" s="40">
        <f>SUMIF(Table11[Budget Code],"=6233", Table11[Reasons for withdrawal])</f>
        <v/>
      </c>
    </row>
    <row r="10">
      <c r="C10" s="42" t="n"/>
      <c r="D10" s="40" t="n"/>
      <c r="F10" s="7" t="n">
        <v>6240</v>
      </c>
      <c r="G10" s="40">
        <f>SUMIF(Table11[Budget Code],"=6240", Table11[Reasons for withdrawal])</f>
        <v/>
      </c>
    </row>
    <row r="11">
      <c r="C11" s="42" t="n"/>
      <c r="D11" s="40" t="n"/>
      <c r="F11" s="7" t="n">
        <v>6256</v>
      </c>
      <c r="G11" s="40">
        <f>SUMIF(Table11[Budget Code],"=6256", Table11[Reasons for withdrawal])</f>
        <v/>
      </c>
    </row>
    <row r="12">
      <c r="C12" s="42" t="n"/>
      <c r="D12" s="40" t="n"/>
      <c r="F12" s="7" t="n">
        <v>6271</v>
      </c>
      <c r="G12" s="40">
        <f>SUMIF(Table11[Budget Code],"=6271", Table11[Reasons for withdrawal])</f>
        <v/>
      </c>
    </row>
    <row r="13">
      <c r="C13" s="42" t="n"/>
      <c r="D13" s="40" t="n"/>
      <c r="F13" s="8" t="inlineStr">
        <is>
          <t>Annual Expenditure</t>
        </is>
      </c>
      <c r="G13" s="33">
        <f>SUBTOTAL(109,Table7911[Withdrawal])</f>
        <v/>
      </c>
    </row>
    <row r="14">
      <c r="C14" s="42" t="n"/>
      <c r="D14" s="40" t="n"/>
    </row>
    <row r="15">
      <c r="C15" s="42" t="n"/>
      <c r="D15" s="40" t="n"/>
    </row>
    <row r="16">
      <c r="C16" s="42" t="n"/>
      <c r="D16" s="40" t="n"/>
    </row>
    <row r="17">
      <c r="C17" s="42" t="n"/>
      <c r="D17" s="40" t="n"/>
    </row>
    <row r="18">
      <c r="C18" s="42" t="n"/>
      <c r="D18" s="40" t="n"/>
    </row>
    <row r="19">
      <c r="C19" s="42" t="n"/>
      <c r="D19" s="40" t="n"/>
    </row>
    <row r="20">
      <c r="C20" s="42" t="n"/>
      <c r="D20" s="40" t="n"/>
    </row>
    <row r="21">
      <c r="C21" s="42" t="n"/>
      <c r="D21" s="40" t="n"/>
    </row>
    <row r="22">
      <c r="C22" s="42" t="n"/>
      <c r="D22" s="40" t="n"/>
    </row>
    <row r="23">
      <c r="C23" s="42" t="n"/>
      <c r="D23" s="40" t="n"/>
    </row>
    <row r="24">
      <c r="C24" s="42" t="n"/>
      <c r="D24" s="40" t="n"/>
    </row>
    <row r="25">
      <c r="C25" s="42" t="n"/>
      <c r="D25" s="40" t="n"/>
    </row>
    <row r="26">
      <c r="C26" s="42" t="n"/>
      <c r="D26" s="40" t="n"/>
    </row>
    <row r="27">
      <c r="C27" s="42" t="n"/>
      <c r="D27" s="40" t="n"/>
    </row>
    <row r="28">
      <c r="C28" s="42" t="n"/>
      <c r="D28" s="40" t="n"/>
    </row>
    <row r="29">
      <c r="C29" s="42" t="n"/>
      <c r="D29" s="40" t="n"/>
    </row>
    <row r="30">
      <c r="C30" s="42" t="n"/>
      <c r="D30" s="40" t="n"/>
    </row>
    <row r="31">
      <c r="C31" s="42" t="n"/>
      <c r="D31" s="40" t="n"/>
    </row>
    <row r="32">
      <c r="C32" s="42" t="n"/>
      <c r="D32" s="40" t="n"/>
    </row>
    <row r="33">
      <c r="C33" s="42" t="n"/>
      <c r="D33" s="40" t="n"/>
    </row>
    <row r="34">
      <c r="C34" s="42" t="n"/>
      <c r="D34" s="40" t="n"/>
    </row>
    <row r="35">
      <c r="C35" s="42" t="n"/>
      <c r="D35" s="40" t="n"/>
    </row>
    <row r="36">
      <c r="C36" s="42" t="n"/>
      <c r="D36" s="40" t="n"/>
    </row>
    <row r="37">
      <c r="C37" s="42" t="n"/>
      <c r="D37" s="40" t="n"/>
    </row>
    <row r="38">
      <c r="C38" s="42" t="n"/>
      <c r="D38" s="40" t="n"/>
    </row>
    <row r="39">
      <c r="C39" s="42" t="n"/>
      <c r="D39" s="40" t="n"/>
    </row>
    <row r="40">
      <c r="C40" s="42" t="n"/>
      <c r="D40" s="40" t="n"/>
    </row>
    <row r="41">
      <c r="C41" s="42" t="n"/>
      <c r="D41" s="40" t="n"/>
    </row>
    <row r="42">
      <c r="C42" s="42" t="n"/>
      <c r="D42" s="40" t="n"/>
    </row>
    <row r="43">
      <c r="C43" s="42" t="n"/>
      <c r="D43" s="40" t="n"/>
    </row>
    <row r="44">
      <c r="C44" s="42" t="n"/>
      <c r="D44" s="40" t="n"/>
    </row>
    <row r="45">
      <c r="C45" s="42" t="n"/>
      <c r="D45" s="40" t="n"/>
    </row>
    <row r="46">
      <c r="C46" s="42" t="n"/>
      <c r="D46" s="40" t="n"/>
    </row>
    <row r="47">
      <c r="C47" s="42" t="n"/>
      <c r="D47" s="40" t="n"/>
    </row>
    <row r="48">
      <c r="C48" s="42" t="n"/>
      <c r="D48" s="40" t="n"/>
    </row>
    <row r="49">
      <c r="C49" s="42" t="n"/>
      <c r="D49" s="40" t="n"/>
    </row>
    <row r="50">
      <c r="C50" s="42" t="n"/>
      <c r="D50" s="40" t="n"/>
    </row>
    <row r="51">
      <c r="C51" s="42" t="n"/>
      <c r="D51" s="40" t="n"/>
    </row>
    <row r="52">
      <c r="C52" s="42" t="n"/>
      <c r="D52" s="40" t="n"/>
    </row>
    <row r="53">
      <c r="C53" s="42" t="n"/>
      <c r="D53" s="40" t="n"/>
    </row>
    <row r="54">
      <c r="C54" s="42" t="n"/>
      <c r="D54" s="40" t="n"/>
    </row>
    <row r="55">
      <c r="C55" s="42" t="n"/>
      <c r="D55" s="40" t="n"/>
    </row>
    <row r="56">
      <c r="C56" s="42" t="n"/>
      <c r="D56" s="40" t="n"/>
    </row>
    <row r="57">
      <c r="C57" s="42" t="n"/>
      <c r="D57" s="40" t="n"/>
    </row>
    <row r="58">
      <c r="C58" s="42" t="n"/>
      <c r="D58" s="40" t="n"/>
    </row>
    <row r="59">
      <c r="C59" s="42" t="n"/>
      <c r="D59" s="40" t="n"/>
    </row>
    <row r="60">
      <c r="C60" s="42" t="n"/>
      <c r="D60" s="40" t="n"/>
    </row>
    <row r="61">
      <c r="C61" s="42" t="n"/>
      <c r="D61" s="40" t="n"/>
    </row>
    <row r="62">
      <c r="C62" s="42" t="n"/>
      <c r="D62" s="40" t="n"/>
    </row>
    <row r="63">
      <c r="C63" s="42" t="n"/>
      <c r="D63" s="40" t="n"/>
    </row>
    <row r="64">
      <c r="C64" s="42" t="n"/>
      <c r="D64" s="40" t="n"/>
    </row>
    <row r="65">
      <c r="C65" s="42" t="n"/>
      <c r="D65" s="40" t="n"/>
    </row>
    <row r="66">
      <c r="C66" s="42" t="n"/>
      <c r="D66" s="40" t="n"/>
    </row>
    <row r="67">
      <c r="C67" s="42" t="n"/>
      <c r="D67" s="40" t="n"/>
    </row>
    <row r="68">
      <c r="C68" s="42" t="n"/>
      <c r="D68" s="40" t="n"/>
    </row>
    <row r="69">
      <c r="C69" s="42" t="n"/>
      <c r="D69" s="40" t="n"/>
    </row>
    <row r="70">
      <c r="C70" s="42" t="n"/>
      <c r="D70" s="40" t="n"/>
    </row>
    <row r="71">
      <c r="C71" s="42" t="n"/>
      <c r="D71" s="40" t="n"/>
    </row>
    <row r="72">
      <c r="C72" s="42" t="n"/>
      <c r="D72" s="40" t="n"/>
    </row>
    <row r="73">
      <c r="C73" s="42" t="n"/>
      <c r="D73" s="40" t="n"/>
    </row>
    <row r="74">
      <c r="C74" s="42" t="n"/>
      <c r="D74" s="40" t="n"/>
    </row>
    <row r="75">
      <c r="C75" s="42" t="n"/>
      <c r="D75" s="40" t="n"/>
    </row>
    <row r="76">
      <c r="C76" s="42" t="n"/>
      <c r="D76" s="40" t="n"/>
    </row>
    <row r="77">
      <c r="C77" s="42" t="n"/>
      <c r="D77" s="40" t="n"/>
    </row>
    <row r="78">
      <c r="C78" s="42" t="n"/>
      <c r="D78" s="40" t="n"/>
    </row>
    <row r="79">
      <c r="C79" s="42" t="n"/>
      <c r="D79" s="40" t="n"/>
    </row>
    <row r="80">
      <c r="C80" s="42" t="n"/>
      <c r="D80" s="40" t="n"/>
    </row>
    <row r="81">
      <c r="C81" s="42" t="n"/>
      <c r="D81" s="40" t="n"/>
    </row>
    <row r="82">
      <c r="C82" s="42" t="n"/>
      <c r="D82" s="40" t="n"/>
    </row>
    <row r="83">
      <c r="C83" s="42" t="n"/>
      <c r="D83" s="40" t="n"/>
    </row>
    <row r="84">
      <c r="C84" s="42" t="n"/>
      <c r="D84" s="40" t="n"/>
    </row>
    <row r="85">
      <c r="C85" s="42" t="n"/>
      <c r="D85" s="40" t="n"/>
    </row>
    <row r="86">
      <c r="C86" s="42" t="n"/>
      <c r="D86" s="40" t="n"/>
    </row>
    <row r="87">
      <c r="C87" s="42" t="n"/>
      <c r="D87" s="40" t="n"/>
    </row>
    <row r="88">
      <c r="C88" s="42" t="n"/>
      <c r="D88" s="40" t="n"/>
    </row>
    <row r="89">
      <c r="C89" s="42" t="n"/>
      <c r="D89" s="40" t="n"/>
    </row>
    <row r="90">
      <c r="C90" s="42" t="n"/>
      <c r="D90" s="40" t="n"/>
    </row>
    <row r="91">
      <c r="C91" s="42" t="n"/>
      <c r="D91" s="40" t="n"/>
    </row>
    <row r="92">
      <c r="C92" s="42" t="n"/>
      <c r="D92" s="40" t="n"/>
    </row>
    <row r="93">
      <c r="C93" s="42" t="n"/>
      <c r="D93" s="40" t="n"/>
    </row>
    <row r="94">
      <c r="C94" s="42" t="n"/>
      <c r="D94" s="40" t="n"/>
    </row>
    <row r="95">
      <c r="C95" s="42" t="n"/>
      <c r="D95" s="40" t="n"/>
    </row>
    <row r="96">
      <c r="C96" s="42" t="n"/>
      <c r="D96" s="40" t="n"/>
    </row>
    <row r="97">
      <c r="C97" s="42" t="n"/>
      <c r="D97" s="40" t="n"/>
    </row>
    <row r="98">
      <c r="C98" s="42" t="n"/>
      <c r="D98" s="40" t="n"/>
    </row>
    <row r="99">
      <c r="C99" s="42" t="n"/>
      <c r="D99" s="40" t="n"/>
    </row>
    <row r="100">
      <c r="C100" s="42" t="n"/>
      <c r="D100" s="40" t="n"/>
    </row>
    <row r="101">
      <c r="C101" s="42" t="n"/>
      <c r="D101" s="40" t="n"/>
    </row>
    <row r="102">
      <c r="C102" s="42" t="n"/>
      <c r="D102" s="40" t="n"/>
    </row>
    <row r="103">
      <c r="C103" s="42" t="n"/>
      <c r="D103" s="40" t="n"/>
    </row>
    <row r="104">
      <c r="C104" s="42" t="n"/>
      <c r="D104" s="40" t="n"/>
    </row>
    <row r="105">
      <c r="C105" s="42" t="n"/>
      <c r="D105" s="40" t="n"/>
    </row>
    <row r="106">
      <c r="C106" s="42" t="n"/>
      <c r="D106" s="40" t="n"/>
    </row>
    <row r="107">
      <c r="C107" s="42" t="n"/>
      <c r="D107" s="40" t="n"/>
    </row>
    <row r="108">
      <c r="C108" s="42" t="n"/>
      <c r="D108" s="40" t="n"/>
    </row>
    <row r="109">
      <c r="C109" s="42" t="n"/>
      <c r="D109" s="40" t="n"/>
    </row>
    <row r="110">
      <c r="C110" s="42" t="n"/>
      <c r="D110" s="40" t="n"/>
    </row>
    <row r="111">
      <c r="C111" s="42" t="n"/>
      <c r="D111" s="40" t="n"/>
    </row>
    <row r="112">
      <c r="C112" s="42" t="n"/>
      <c r="D112" s="40" t="n"/>
    </row>
    <row r="113">
      <c r="C113" s="42" t="n"/>
      <c r="D113" s="40" t="n"/>
    </row>
    <row r="114">
      <c r="C114" s="42" t="n"/>
      <c r="D114" s="40" t="n"/>
    </row>
    <row r="115">
      <c r="C115" s="42" t="n"/>
      <c r="D115" s="40" t="n"/>
    </row>
    <row r="116">
      <c r="C116" s="42" t="n"/>
      <c r="D116" s="40" t="n"/>
    </row>
    <row r="117">
      <c r="C117" s="42" t="n"/>
      <c r="D117" s="40" t="n"/>
    </row>
    <row r="118">
      <c r="C118" s="42" t="n"/>
      <c r="D118" s="40" t="n"/>
    </row>
    <row r="119">
      <c r="C119" s="42" t="n"/>
      <c r="D119" s="40" t="n"/>
    </row>
    <row r="120">
      <c r="C120" s="42" t="n"/>
      <c r="D120" s="40" t="n"/>
    </row>
    <row r="121">
      <c r="C121" s="42" t="n"/>
      <c r="D121" s="40" t="n"/>
    </row>
    <row r="122">
      <c r="C122" s="42" t="n"/>
      <c r="D122" s="40" t="n"/>
    </row>
    <row r="123">
      <c r="C123" s="42" t="n"/>
      <c r="D123" s="40" t="n"/>
    </row>
    <row r="124">
      <c r="C124" s="42" t="n"/>
      <c r="D124" s="40" t="n"/>
    </row>
    <row r="125">
      <c r="C125" s="42" t="n"/>
      <c r="D125" s="40" t="n"/>
    </row>
    <row r="126">
      <c r="C126" s="42" t="n"/>
      <c r="D126" s="40" t="n"/>
    </row>
    <row r="127">
      <c r="C127" s="42" t="n"/>
      <c r="D127" s="40" t="n"/>
    </row>
    <row r="128">
      <c r="C128" s="42" t="n"/>
      <c r="D128" s="40" t="n"/>
    </row>
    <row r="129">
      <c r="C129" s="42" t="n"/>
      <c r="D129" s="40" t="n"/>
    </row>
    <row r="130">
      <c r="C130" s="42" t="n"/>
      <c r="D130" s="40" t="n"/>
    </row>
    <row r="131">
      <c r="C131" s="42" t="n"/>
      <c r="D131" s="40" t="n"/>
    </row>
    <row r="132">
      <c r="C132" s="42" t="n"/>
      <c r="D132" s="40" t="n"/>
    </row>
    <row r="133">
      <c r="C133" s="42" t="n"/>
      <c r="D133" s="40" t="n"/>
    </row>
    <row r="134">
      <c r="C134" s="42" t="n"/>
      <c r="D134" s="40" t="n"/>
    </row>
    <row r="135">
      <c r="C135" s="42" t="n"/>
      <c r="D135" s="40" t="n"/>
    </row>
    <row r="136">
      <c r="C136" s="42" t="n"/>
      <c r="D136" s="40" t="n"/>
    </row>
    <row r="137">
      <c r="C137" s="42" t="n"/>
      <c r="D137" s="40" t="n"/>
    </row>
    <row r="138">
      <c r="C138" s="42" t="n"/>
      <c r="D138" s="40" t="n"/>
    </row>
    <row r="139">
      <c r="C139" s="42" t="n"/>
      <c r="D139" s="40" t="n"/>
    </row>
    <row r="140">
      <c r="C140" s="42" t="n"/>
      <c r="D140" s="40" t="n"/>
    </row>
    <row r="141">
      <c r="C141" s="42" t="n"/>
      <c r="D141" s="40" t="n"/>
    </row>
    <row r="142">
      <c r="C142" s="42" t="n"/>
      <c r="D142" s="40" t="n"/>
    </row>
    <row r="143">
      <c r="C143" s="42" t="n"/>
      <c r="D143" s="40" t="n"/>
    </row>
    <row r="144">
      <c r="C144" s="42" t="n"/>
      <c r="D144" s="40" t="n"/>
    </row>
    <row r="145">
      <c r="C145" s="42" t="n"/>
      <c r="D145" s="40" t="n"/>
    </row>
    <row r="146">
      <c r="C146" s="42" t="n"/>
      <c r="D146" s="40" t="n"/>
    </row>
    <row r="147">
      <c r="C147" s="42" t="n"/>
      <c r="D147" s="40" t="n"/>
    </row>
    <row r="148">
      <c r="C148" s="42" t="n"/>
      <c r="D148" s="40" t="n"/>
    </row>
    <row r="149">
      <c r="C149" s="42" t="n"/>
      <c r="D149" s="40" t="n"/>
    </row>
    <row r="150">
      <c r="C150" s="42" t="n"/>
      <c r="D150" s="40" t="n"/>
    </row>
    <row r="151">
      <c r="C151" s="42" t="n"/>
      <c r="D151" s="40" t="n"/>
    </row>
    <row r="152">
      <c r="C152" s="42" t="n"/>
      <c r="D152" s="40" t="n"/>
    </row>
    <row r="153">
      <c r="C153" s="42" t="n"/>
      <c r="D153" s="40" t="n"/>
    </row>
    <row r="154">
      <c r="C154" s="42" t="n"/>
      <c r="D154" s="40" t="n"/>
    </row>
    <row r="155">
      <c r="C155" s="42" t="n"/>
      <c r="D155" s="40" t="n"/>
    </row>
    <row r="156">
      <c r="C156" s="42" t="n"/>
      <c r="D156" s="40" t="n"/>
    </row>
    <row r="157">
      <c r="C157" s="42" t="n"/>
      <c r="D157" s="40" t="n"/>
    </row>
    <row r="158">
      <c r="C158" s="42" t="n"/>
      <c r="D158" s="40" t="n"/>
    </row>
    <row r="159">
      <c r="C159" s="42" t="n"/>
      <c r="D159" s="40" t="n"/>
    </row>
    <row r="160">
      <c r="C160" s="42" t="n"/>
      <c r="D160" s="40" t="n"/>
    </row>
    <row r="161">
      <c r="C161" s="42" t="n"/>
      <c r="D161" s="40" t="n"/>
    </row>
    <row r="162">
      <c r="C162" s="42" t="n"/>
      <c r="D162" s="40" t="n"/>
    </row>
    <row r="163">
      <c r="C163" s="42" t="n"/>
      <c r="D163" s="40" t="n"/>
    </row>
    <row r="164">
      <c r="C164" s="42" t="n"/>
      <c r="D164" s="40" t="n"/>
    </row>
    <row r="165">
      <c r="C165" s="42" t="n"/>
      <c r="D165" s="40" t="n"/>
    </row>
    <row r="166">
      <c r="C166" s="42" t="n"/>
      <c r="D166" s="40" t="n"/>
    </row>
    <row r="167">
      <c r="C167" s="42" t="n"/>
      <c r="D167" s="40" t="n"/>
    </row>
    <row r="168">
      <c r="C168" s="42" t="n"/>
      <c r="D168" s="40" t="n"/>
    </row>
    <row r="169">
      <c r="C169" s="42" t="n"/>
      <c r="D169" s="40" t="n"/>
    </row>
    <row r="170">
      <c r="C170" s="42" t="n"/>
      <c r="D170" s="40" t="n"/>
    </row>
    <row r="171">
      <c r="C171" s="42" t="n"/>
      <c r="D171" s="40" t="n"/>
    </row>
    <row r="172">
      <c r="C172" s="42" t="n"/>
      <c r="D172" s="40" t="n"/>
    </row>
    <row r="173">
      <c r="C173" s="42" t="n"/>
      <c r="D173" s="40" t="n"/>
    </row>
    <row r="174">
      <c r="C174" s="42" t="n"/>
      <c r="D174" s="40" t="n"/>
    </row>
    <row r="175">
      <c r="C175" s="42" t="n"/>
      <c r="D175" s="40" t="n"/>
    </row>
    <row r="176">
      <c r="C176" s="42" t="n"/>
      <c r="D176" s="40" t="n"/>
    </row>
    <row r="177">
      <c r="C177" s="42" t="n"/>
      <c r="D177" s="40" t="n"/>
    </row>
    <row r="178">
      <c r="C178" s="42" t="n"/>
      <c r="D178" s="40" t="n"/>
    </row>
    <row r="179">
      <c r="C179" s="42" t="n"/>
      <c r="D179" s="40" t="n"/>
    </row>
    <row r="180">
      <c r="C180" s="42" t="n"/>
      <c r="D180" s="40" t="n"/>
    </row>
    <row r="181">
      <c r="C181" s="42" t="n"/>
      <c r="D181" s="40" t="n"/>
    </row>
    <row r="182">
      <c r="C182" s="42" t="n"/>
      <c r="D182" s="40" t="n"/>
    </row>
    <row r="183">
      <c r="C183" s="42" t="n"/>
      <c r="D183" s="40" t="n"/>
    </row>
    <row r="184">
      <c r="C184" s="42" t="n"/>
      <c r="D184" s="40" t="n"/>
    </row>
    <row r="185">
      <c r="C185" s="42" t="n"/>
      <c r="D185" s="40" t="n"/>
    </row>
    <row r="186">
      <c r="C186" s="42" t="n"/>
      <c r="D186" s="40" t="n"/>
    </row>
    <row r="187">
      <c r="C187" s="42" t="n"/>
      <c r="D187" s="40" t="n"/>
    </row>
    <row r="188">
      <c r="C188" s="42" t="n"/>
      <c r="D188" s="40" t="n"/>
    </row>
    <row r="189">
      <c r="C189" s="42" t="n"/>
      <c r="D189" s="40" t="n"/>
    </row>
    <row r="190">
      <c r="C190" s="42" t="n"/>
      <c r="D190" s="40" t="n"/>
    </row>
    <row r="191">
      <c r="C191" s="42" t="n"/>
      <c r="D191" s="40" t="n"/>
    </row>
    <row r="192">
      <c r="C192" s="42" t="n"/>
      <c r="D192" s="40" t="n"/>
    </row>
    <row r="193">
      <c r="C193" s="42" t="n"/>
      <c r="D193" s="40" t="n"/>
    </row>
    <row r="194">
      <c r="C194" s="42" t="n"/>
      <c r="D194" s="40" t="n"/>
    </row>
    <row r="195">
      <c r="C195" s="42" t="n"/>
      <c r="D195" s="40" t="n"/>
    </row>
    <row r="196">
      <c r="C196" s="42" t="n"/>
      <c r="D196" s="40" t="n"/>
    </row>
    <row r="197">
      <c r="C197" s="42" t="n"/>
      <c r="D197" s="40" t="n"/>
    </row>
    <row r="198">
      <c r="C198" s="42" t="n"/>
      <c r="D198" s="40" t="n"/>
    </row>
    <row r="199">
      <c r="C199" s="42" t="n"/>
      <c r="D199" s="40" t="n"/>
    </row>
    <row r="200">
      <c r="C200" s="42" t="n"/>
      <c r="D200" s="40" t="n"/>
    </row>
    <row r="201">
      <c r="C201" s="42" t="n"/>
      <c r="D201" s="40" t="n"/>
    </row>
    <row r="202">
      <c r="C202" s="42" t="n"/>
      <c r="D202" s="40" t="n"/>
    </row>
    <row r="203">
      <c r="C203" s="42" t="n"/>
      <c r="D203" s="40" t="n"/>
    </row>
    <row r="204">
      <c r="C204" s="42" t="n"/>
      <c r="D204" s="40" t="n"/>
    </row>
    <row r="205">
      <c r="C205" s="42" t="n"/>
      <c r="D205" s="40" t="n"/>
    </row>
    <row r="206">
      <c r="C206" s="42" t="n"/>
      <c r="D206" s="40" t="n"/>
    </row>
    <row r="207">
      <c r="C207" s="42" t="n"/>
      <c r="D207" s="40" t="n"/>
    </row>
    <row r="208">
      <c r="C208" s="42" t="n"/>
      <c r="D208" s="40" t="n"/>
    </row>
    <row r="209">
      <c r="C209" s="42" t="n"/>
      <c r="D209" s="40" t="n"/>
    </row>
    <row r="210">
      <c r="C210" s="42" t="n"/>
      <c r="D210" s="40" t="n"/>
    </row>
    <row r="211">
      <c r="C211" s="42" t="n"/>
      <c r="D211" s="40" t="n"/>
    </row>
    <row r="212">
      <c r="C212" s="42" t="n"/>
      <c r="D212" s="40" t="n"/>
    </row>
    <row r="213">
      <c r="C213" s="42" t="n"/>
      <c r="D213" s="40" t="n"/>
    </row>
    <row r="214">
      <c r="C214" s="42" t="n"/>
      <c r="D214" s="40" t="n"/>
    </row>
    <row r="215">
      <c r="C215" s="42" t="n"/>
      <c r="D215" s="40" t="n"/>
    </row>
    <row r="216">
      <c r="C216" s="42" t="n"/>
      <c r="D216" s="40" t="n"/>
    </row>
    <row r="217">
      <c r="C217" s="42" t="n"/>
      <c r="D217" s="40" t="n"/>
    </row>
    <row r="218">
      <c r="C218" s="42" t="n"/>
      <c r="D218" s="40" t="n"/>
    </row>
    <row r="219">
      <c r="C219" s="42" t="n"/>
      <c r="D219" s="40" t="n"/>
    </row>
    <row r="220">
      <c r="C220" s="42" t="n"/>
      <c r="D220" s="40" t="n"/>
    </row>
    <row r="221">
      <c r="C221" s="42" t="n"/>
      <c r="D221" s="40" t="n"/>
    </row>
    <row r="222">
      <c r="C222" s="42" t="n"/>
      <c r="D222" s="40" t="n"/>
    </row>
    <row r="223">
      <c r="C223" s="42" t="n"/>
      <c r="D223" s="40" t="n"/>
    </row>
    <row r="224">
      <c r="C224" s="42" t="n"/>
      <c r="D224" s="40" t="n"/>
    </row>
    <row r="225">
      <c r="C225" s="42" t="n"/>
      <c r="D225" s="40" t="n"/>
    </row>
    <row r="226">
      <c r="C226" s="42" t="n"/>
      <c r="D226" s="40" t="n"/>
    </row>
    <row r="227">
      <c r="C227" s="42" t="n"/>
      <c r="D227" s="40" t="n"/>
    </row>
    <row r="228">
      <c r="C228" s="42" t="n"/>
      <c r="D228" s="40" t="n"/>
    </row>
    <row r="229">
      <c r="C229" s="42" t="n"/>
      <c r="D229" s="40" t="n"/>
    </row>
    <row r="230">
      <c r="C230" s="42" t="n"/>
      <c r="D230" s="40" t="n"/>
    </row>
    <row r="231">
      <c r="C231" s="42" t="n"/>
      <c r="D231" s="40" t="n"/>
    </row>
    <row r="232">
      <c r="C232" s="42" t="n"/>
      <c r="D232" s="40" t="n"/>
    </row>
    <row r="233">
      <c r="C233" s="42" t="n"/>
      <c r="D233" s="40" t="n"/>
    </row>
    <row r="234">
      <c r="C234" s="42" t="n"/>
      <c r="D234" s="40" t="n"/>
    </row>
    <row r="235">
      <c r="C235" s="42" t="n"/>
      <c r="D235" s="40" t="n"/>
    </row>
    <row r="236">
      <c r="C236" s="42" t="n"/>
      <c r="D236" s="40" t="n"/>
    </row>
    <row r="237">
      <c r="C237" s="42" t="n"/>
      <c r="D237" s="40" t="n"/>
    </row>
    <row r="238">
      <c r="C238" s="42" t="n"/>
      <c r="D238" s="40" t="n"/>
    </row>
    <row r="239">
      <c r="C239" s="42" t="n"/>
      <c r="D239" s="40" t="n"/>
    </row>
    <row r="240">
      <c r="C240" s="42" t="n"/>
      <c r="D240" s="40" t="n"/>
    </row>
    <row r="241">
      <c r="C241" s="42" t="n"/>
      <c r="D241" s="40" t="n"/>
    </row>
    <row r="242">
      <c r="C242" s="42" t="n"/>
      <c r="D242" s="40" t="n"/>
    </row>
    <row r="243">
      <c r="C243" s="42" t="n"/>
      <c r="D243" s="40" t="n"/>
    </row>
    <row r="244">
      <c r="C244" s="42" t="n"/>
      <c r="D244" s="40" t="n"/>
    </row>
    <row r="245">
      <c r="C245" s="42" t="n"/>
      <c r="D245" s="40" t="n"/>
    </row>
    <row r="246">
      <c r="C246" s="42" t="n"/>
      <c r="D246" s="40" t="n"/>
    </row>
    <row r="247">
      <c r="C247" s="42" t="n"/>
      <c r="D247" s="40" t="n"/>
    </row>
    <row r="248">
      <c r="C248" s="42" t="n"/>
      <c r="D248" s="40" t="n"/>
    </row>
    <row r="249">
      <c r="C249" s="42" t="n"/>
      <c r="D249" s="40" t="n"/>
    </row>
    <row r="250">
      <c r="C250" s="42" t="n"/>
      <c r="D250" s="40" t="n"/>
    </row>
    <row r="251">
      <c r="C251" s="42" t="n"/>
      <c r="D251" s="40" t="n"/>
    </row>
    <row r="252">
      <c r="C252" s="42" t="n"/>
      <c r="D252" s="40" t="n"/>
    </row>
    <row r="253">
      <c r="C253" s="42" t="n"/>
      <c r="D253" s="40" t="n"/>
    </row>
    <row r="254">
      <c r="C254" s="42" t="n"/>
      <c r="D254" s="40" t="n"/>
    </row>
    <row r="255">
      <c r="C255" s="42" t="n"/>
      <c r="D255" s="40" t="n"/>
    </row>
    <row r="256">
      <c r="C256" s="42" t="n"/>
      <c r="D256" s="40" t="n"/>
    </row>
    <row r="257">
      <c r="C257" s="42" t="n"/>
      <c r="D257" s="40" t="n"/>
    </row>
    <row r="258">
      <c r="C258" s="42" t="n"/>
      <c r="D258" s="40" t="n"/>
    </row>
    <row r="259">
      <c r="C259" s="42" t="n"/>
      <c r="D259" s="40" t="n"/>
    </row>
    <row r="260">
      <c r="C260" s="42" t="n"/>
      <c r="D260" s="40" t="n"/>
    </row>
    <row r="261">
      <c r="C261" s="42" t="n"/>
      <c r="D261" s="40" t="n"/>
    </row>
    <row r="262">
      <c r="C262" s="42" t="n"/>
      <c r="D262" s="40" t="n"/>
    </row>
    <row r="263">
      <c r="C263" s="42" t="n"/>
      <c r="D263" s="40" t="n"/>
    </row>
    <row r="264">
      <c r="C264" s="42" t="n"/>
      <c r="D264" s="40" t="n"/>
    </row>
    <row r="265">
      <c r="C265" s="42" t="n"/>
      <c r="D265" s="40" t="n"/>
    </row>
    <row r="266">
      <c r="C266" s="42" t="n"/>
      <c r="D266" s="40" t="n"/>
    </row>
    <row r="267">
      <c r="C267" s="42" t="n"/>
      <c r="D267" s="40" t="n"/>
    </row>
    <row r="268">
      <c r="C268" s="42" t="n"/>
      <c r="D268" s="40" t="n"/>
    </row>
    <row r="269">
      <c r="C269" s="42" t="n"/>
      <c r="D269" s="40" t="n"/>
    </row>
    <row r="270">
      <c r="C270" s="42" t="n"/>
      <c r="D270" s="40" t="n"/>
    </row>
    <row r="271">
      <c r="C271" s="42" t="n"/>
      <c r="D271" s="40" t="n"/>
    </row>
    <row r="272">
      <c r="C272" s="42" t="n"/>
      <c r="D272" s="40" t="n"/>
    </row>
    <row r="273">
      <c r="C273" s="42" t="n"/>
      <c r="D273" s="40" t="n"/>
    </row>
    <row r="274">
      <c r="C274" s="42" t="n"/>
      <c r="D274" s="40" t="n"/>
    </row>
    <row r="275">
      <c r="C275" s="42" t="n"/>
      <c r="D275" s="40" t="n"/>
    </row>
    <row r="276">
      <c r="C276" s="42" t="n"/>
      <c r="D276" s="40" t="n"/>
    </row>
    <row r="277">
      <c r="C277" s="42" t="n"/>
      <c r="D277" s="40" t="n"/>
    </row>
    <row r="278">
      <c r="C278" s="42" t="n"/>
      <c r="D278" s="40" t="n"/>
    </row>
    <row r="279">
      <c r="C279" s="42" t="n"/>
      <c r="D279" s="40" t="n"/>
    </row>
    <row r="280">
      <c r="C280" s="42" t="n"/>
      <c r="D280" s="40" t="n"/>
    </row>
    <row r="281">
      <c r="C281" s="42" t="n"/>
      <c r="D281" s="40" t="n"/>
    </row>
    <row r="282">
      <c r="C282" s="42" t="n"/>
      <c r="D282" s="40" t="n"/>
    </row>
    <row r="283">
      <c r="C283" s="42" t="n"/>
      <c r="D283" s="40" t="n"/>
    </row>
    <row r="284">
      <c r="C284" s="42" t="n"/>
      <c r="D284" s="40" t="n"/>
    </row>
    <row r="285">
      <c r="C285" s="42" t="n"/>
      <c r="D285" s="40" t="n"/>
    </row>
    <row r="286">
      <c r="C286" s="42" t="n"/>
      <c r="D286" s="40" t="n"/>
    </row>
    <row r="287">
      <c r="C287" s="42" t="n"/>
      <c r="D287" s="40" t="n"/>
    </row>
    <row r="288">
      <c r="C288" s="42" t="n"/>
      <c r="D288" s="40" t="n"/>
    </row>
    <row r="289">
      <c r="C289" s="42" t="n"/>
      <c r="D289" s="40" t="n"/>
    </row>
    <row r="290">
      <c r="C290" s="42" t="n"/>
      <c r="D290" s="40" t="n"/>
    </row>
    <row r="291">
      <c r="C291" s="42" t="n"/>
      <c r="D291" s="40" t="n"/>
    </row>
    <row r="292">
      <c r="C292" s="42" t="n"/>
      <c r="D292" s="40" t="n"/>
    </row>
    <row r="293">
      <c r="C293" s="42" t="n"/>
      <c r="D293" s="40" t="n"/>
    </row>
    <row r="294">
      <c r="C294" s="42" t="n"/>
      <c r="D294" s="40" t="n"/>
    </row>
    <row r="295">
      <c r="C295" s="42" t="n"/>
      <c r="D295" s="40" t="n"/>
    </row>
    <row r="296">
      <c r="C296" s="42" t="n"/>
      <c r="D296" s="40" t="n"/>
    </row>
    <row r="297">
      <c r="C297" s="42" t="n"/>
      <c r="D297" s="40" t="n"/>
    </row>
    <row r="298">
      <c r="C298" s="42" t="n"/>
      <c r="D298" s="40" t="n"/>
    </row>
    <row r="299">
      <c r="C299" s="42" t="n"/>
      <c r="D299" s="40" t="n"/>
    </row>
    <row r="300">
      <c r="C300" s="42" t="n"/>
      <c r="D300" s="40" t="n"/>
    </row>
    <row r="301">
      <c r="C301" s="42" t="n"/>
      <c r="D301" s="40" t="n"/>
    </row>
    <row r="302">
      <c r="C302" s="42" t="n"/>
      <c r="D302" s="40" t="n"/>
    </row>
    <row r="303">
      <c r="C303" s="42" t="n"/>
      <c r="D303" s="40" t="n"/>
    </row>
    <row r="304">
      <c r="C304" s="42" t="n"/>
      <c r="D304" s="40" t="n"/>
    </row>
    <row r="305">
      <c r="C305" s="42" t="n"/>
      <c r="D305" s="40" t="n"/>
    </row>
    <row r="306">
      <c r="C306" s="42" t="n"/>
      <c r="D306" s="40" t="n"/>
    </row>
    <row r="307">
      <c r="C307" s="42" t="n"/>
      <c r="D307" s="40" t="n"/>
    </row>
    <row r="308">
      <c r="C308" s="42" t="n"/>
      <c r="D308" s="40" t="n"/>
    </row>
    <row r="309">
      <c r="C309" s="42" t="n"/>
      <c r="D309" s="40" t="n"/>
    </row>
    <row r="310">
      <c r="C310" s="42" t="n"/>
      <c r="D310" s="40" t="n"/>
    </row>
    <row r="311">
      <c r="C311" s="42" t="n"/>
      <c r="D311" s="40" t="n"/>
    </row>
    <row r="312">
      <c r="C312" s="42" t="n"/>
      <c r="D312" s="40" t="n"/>
    </row>
    <row r="313">
      <c r="C313" s="42" t="n"/>
      <c r="D313" s="40" t="n"/>
    </row>
    <row r="314">
      <c r="C314" s="42" t="n"/>
      <c r="D314" s="40" t="n"/>
    </row>
    <row r="315">
      <c r="C315" s="42" t="n"/>
      <c r="D315" s="40" t="n"/>
    </row>
    <row r="316">
      <c r="C316" s="42" t="n"/>
      <c r="D316" s="40" t="n"/>
    </row>
    <row r="317">
      <c r="C317" s="42" t="n"/>
      <c r="D317" s="40" t="n"/>
    </row>
    <row r="318">
      <c r="C318" s="42" t="n"/>
      <c r="D318" s="40" t="n"/>
    </row>
    <row r="319">
      <c r="C319" s="42" t="n"/>
      <c r="D319" s="40" t="n"/>
    </row>
    <row r="320">
      <c r="C320" s="42" t="n"/>
      <c r="D320" s="40" t="n"/>
    </row>
    <row r="321">
      <c r="C321" s="42" t="n"/>
      <c r="D321" s="40" t="n"/>
    </row>
    <row r="322">
      <c r="C322" s="42" t="n"/>
      <c r="D322" s="40" t="n"/>
    </row>
    <row r="323">
      <c r="C323" s="42" t="n"/>
      <c r="D323" s="40" t="n"/>
    </row>
    <row r="324">
      <c r="C324" s="42" t="n"/>
      <c r="D324" s="40" t="n"/>
    </row>
    <row r="325">
      <c r="C325" s="42" t="n"/>
      <c r="D325" s="40" t="n"/>
    </row>
    <row r="326">
      <c r="C326" s="42" t="n"/>
      <c r="D326" s="40" t="n"/>
    </row>
    <row r="327">
      <c r="C327" s="42" t="n"/>
      <c r="D327" s="40" t="n"/>
    </row>
    <row r="328">
      <c r="C328" s="42" t="n"/>
      <c r="D328" s="40" t="n"/>
    </row>
    <row r="329">
      <c r="C329" s="42" t="n"/>
      <c r="D329" s="40" t="n"/>
    </row>
    <row r="330">
      <c r="C330" s="42" t="n"/>
      <c r="D330" s="40" t="n"/>
    </row>
    <row r="331">
      <c r="C331" s="42" t="n"/>
      <c r="D331" s="40" t="n"/>
    </row>
    <row r="332">
      <c r="C332" s="42" t="n"/>
      <c r="D332" s="40" t="n"/>
    </row>
    <row r="333">
      <c r="C333" s="42" t="n"/>
      <c r="D333" s="40" t="n"/>
    </row>
    <row r="334">
      <c r="C334" s="42" t="n"/>
      <c r="D334" s="40" t="n"/>
    </row>
    <row r="335">
      <c r="C335" s="42" t="n"/>
      <c r="D335" s="40" t="n"/>
    </row>
    <row r="336">
      <c r="C336" s="42" t="n"/>
      <c r="D336" s="40" t="n"/>
    </row>
    <row r="337">
      <c r="C337" s="42" t="n"/>
      <c r="D337" s="40" t="n"/>
    </row>
    <row r="338">
      <c r="C338" s="42" t="n"/>
      <c r="D338" s="40" t="n"/>
    </row>
    <row r="339">
      <c r="C339" s="42" t="n"/>
      <c r="D339" s="40" t="n"/>
    </row>
    <row r="340">
      <c r="C340" s="42" t="n"/>
      <c r="D340" s="40" t="n"/>
    </row>
    <row r="341">
      <c r="C341" s="42" t="n"/>
      <c r="D341" s="40" t="n"/>
    </row>
    <row r="342">
      <c r="C342" s="42" t="n"/>
      <c r="D342" s="40" t="n"/>
    </row>
    <row r="343">
      <c r="C343" s="42" t="n"/>
      <c r="D343" s="40" t="n"/>
    </row>
    <row r="344">
      <c r="C344" s="42" t="n"/>
      <c r="D344" s="40" t="n"/>
    </row>
    <row r="345">
      <c r="C345" s="42" t="n"/>
      <c r="D345" s="40" t="n"/>
    </row>
    <row r="346">
      <c r="C346" s="42" t="n"/>
      <c r="D346" s="40" t="n"/>
    </row>
    <row r="347">
      <c r="C347" s="42" t="n"/>
      <c r="D347" s="40" t="n"/>
    </row>
    <row r="348">
      <c r="C348" s="42" t="n"/>
      <c r="D348" s="40" t="n"/>
    </row>
    <row r="349">
      <c r="C349" s="42" t="n"/>
      <c r="D349" s="40" t="n"/>
    </row>
    <row r="350">
      <c r="C350" s="42" t="n"/>
      <c r="D350" s="40" t="n"/>
    </row>
    <row r="351">
      <c r="C351" s="42" t="n"/>
      <c r="D351" s="40" t="n"/>
    </row>
    <row r="352">
      <c r="C352" s="42" t="n"/>
      <c r="D352" s="40" t="n"/>
    </row>
    <row r="353">
      <c r="C353" s="42" t="n"/>
      <c r="D353" s="40" t="n"/>
    </row>
    <row r="354">
      <c r="C354" s="42" t="n"/>
      <c r="D354" s="40" t="n"/>
    </row>
    <row r="355">
      <c r="C355" s="42" t="n"/>
      <c r="D355" s="40" t="n"/>
    </row>
    <row r="356">
      <c r="C356" s="42" t="n"/>
      <c r="D356" s="40" t="n"/>
    </row>
    <row r="357">
      <c r="C357" s="42" t="n"/>
      <c r="D357" s="40" t="n"/>
    </row>
    <row r="358">
      <c r="C358" s="42" t="n"/>
      <c r="D358" s="40" t="n"/>
    </row>
    <row r="359">
      <c r="C359" s="42" t="n"/>
      <c r="D359" s="40" t="n"/>
    </row>
    <row r="360">
      <c r="C360" s="42" t="n"/>
      <c r="D360" s="40" t="n"/>
    </row>
    <row r="361">
      <c r="C361" s="42" t="n"/>
      <c r="D361" s="40" t="n"/>
    </row>
    <row r="362">
      <c r="C362" s="42" t="n"/>
      <c r="D362" s="40" t="n"/>
    </row>
    <row r="363">
      <c r="C363" s="42" t="n"/>
      <c r="D363" s="40" t="n"/>
    </row>
    <row r="364">
      <c r="C364" s="42" t="n"/>
      <c r="D364" s="40" t="n"/>
    </row>
    <row r="365">
      <c r="C365" s="42" t="n"/>
      <c r="D365" s="40" t="n"/>
    </row>
    <row r="366">
      <c r="C366" s="42" t="n"/>
      <c r="D366" s="40" t="n"/>
    </row>
    <row r="367">
      <c r="C367" s="42" t="n"/>
      <c r="D367" s="40" t="n"/>
    </row>
    <row r="368">
      <c r="C368" s="42" t="n"/>
      <c r="D368" s="40" t="n"/>
    </row>
    <row r="369">
      <c r="C369" s="42" t="n"/>
      <c r="D369" s="40" t="n"/>
    </row>
    <row r="370">
      <c r="C370" s="42" t="n"/>
      <c r="D370" s="40" t="n"/>
    </row>
    <row r="371">
      <c r="C371" s="42" t="n"/>
      <c r="D371" s="40" t="n"/>
    </row>
    <row r="372">
      <c r="C372" s="42" t="n"/>
      <c r="D372" s="40" t="n"/>
    </row>
    <row r="373">
      <c r="C373" s="42" t="n"/>
      <c r="D373" s="40" t="n"/>
    </row>
    <row r="374">
      <c r="C374" s="42" t="n"/>
      <c r="D374" s="40" t="n"/>
    </row>
    <row r="375">
      <c r="C375" s="42" t="n"/>
      <c r="D375" s="40" t="n"/>
    </row>
    <row r="376">
      <c r="C376" s="42" t="n"/>
      <c r="D376" s="40" t="n"/>
    </row>
    <row r="377">
      <c r="C377" s="42" t="n"/>
      <c r="D377" s="40" t="n"/>
    </row>
    <row r="378">
      <c r="C378" s="42" t="n"/>
      <c r="D378" s="40" t="n"/>
    </row>
    <row r="379">
      <c r="C379" s="42" t="n"/>
      <c r="D379" s="40" t="n"/>
    </row>
    <row r="380">
      <c r="C380" s="42" t="n"/>
      <c r="D380" s="40" t="n"/>
    </row>
    <row r="381">
      <c r="C381" s="42" t="n"/>
      <c r="D381" s="40" t="n"/>
    </row>
    <row r="382">
      <c r="C382" s="42" t="n"/>
      <c r="D382" s="40" t="n"/>
    </row>
    <row r="383">
      <c r="C383" s="42" t="n"/>
      <c r="D383" s="40" t="n"/>
    </row>
    <row r="384">
      <c r="C384" s="42" t="n"/>
      <c r="D384" s="40" t="n"/>
    </row>
    <row r="385">
      <c r="C385" s="42" t="n"/>
      <c r="D385" s="40" t="n"/>
    </row>
    <row r="386">
      <c r="C386" s="42" t="n"/>
      <c r="D386" s="40" t="n"/>
    </row>
    <row r="387">
      <c r="C387" s="42" t="n"/>
      <c r="D387" s="40" t="n"/>
    </row>
    <row r="388">
      <c r="C388" s="42" t="n"/>
      <c r="D388" s="40" t="n"/>
    </row>
    <row r="389">
      <c r="C389" s="42" t="n"/>
      <c r="D389" s="40" t="n"/>
    </row>
    <row r="390">
      <c r="C390" s="42" t="n"/>
      <c r="D390" s="40" t="n"/>
    </row>
    <row r="391">
      <c r="C391" s="42" t="n"/>
      <c r="D391" s="40" t="n"/>
    </row>
    <row r="392">
      <c r="C392" s="42" t="n"/>
      <c r="D392" s="40" t="n"/>
    </row>
    <row r="393">
      <c r="C393" s="42" t="n"/>
      <c r="D393" s="40" t="n"/>
    </row>
    <row r="394">
      <c r="C394" s="42" t="n"/>
      <c r="D394" s="40" t="n"/>
    </row>
    <row r="395">
      <c r="C395" s="42" t="n"/>
      <c r="D395" s="40" t="n"/>
    </row>
    <row r="396">
      <c r="C396" s="42" t="n"/>
      <c r="D396" s="40" t="n"/>
    </row>
    <row r="397">
      <c r="C397" s="42" t="n"/>
      <c r="D397" s="40" t="n"/>
    </row>
    <row r="398">
      <c r="C398" s="42" t="n"/>
      <c r="D398" s="40" t="n"/>
    </row>
    <row r="399">
      <c r="C399" s="42" t="n"/>
      <c r="D399" s="40" t="n"/>
    </row>
    <row r="400">
      <c r="C400" s="42" t="n"/>
      <c r="D400" s="40" t="n"/>
    </row>
    <row r="401">
      <c r="C401" s="42" t="n"/>
      <c r="D401" s="40" t="n"/>
    </row>
    <row r="402">
      <c r="C402" s="42" t="n"/>
      <c r="D402" s="40" t="n"/>
    </row>
    <row r="403">
      <c r="C403" s="42" t="n"/>
      <c r="D403" s="40" t="n"/>
    </row>
    <row r="404">
      <c r="C404" s="42" t="n"/>
      <c r="D404" s="40" t="n"/>
    </row>
    <row r="405">
      <c r="C405" s="42" t="n"/>
      <c r="D405" s="40" t="n"/>
    </row>
    <row r="406">
      <c r="C406" s="42" t="n"/>
      <c r="D406" s="40" t="n"/>
    </row>
    <row r="407">
      <c r="C407" s="42" t="n"/>
      <c r="D407" s="40" t="n"/>
    </row>
    <row r="408">
      <c r="C408" s="42" t="n"/>
      <c r="D408" s="40" t="n"/>
    </row>
    <row r="409">
      <c r="C409" s="42" t="n"/>
      <c r="D409" s="40" t="n"/>
    </row>
    <row r="410">
      <c r="C410" s="42" t="n"/>
      <c r="D410" s="40" t="n"/>
    </row>
    <row r="411">
      <c r="C411" s="42" t="n"/>
      <c r="D411" s="40" t="n"/>
    </row>
    <row r="412">
      <c r="C412" s="42" t="n"/>
      <c r="D412" s="40" t="n"/>
    </row>
    <row r="413">
      <c r="C413" s="42" t="n"/>
      <c r="D413" s="40" t="n"/>
    </row>
    <row r="414">
      <c r="C414" s="42" t="n"/>
      <c r="D414" s="40" t="n"/>
    </row>
    <row r="415">
      <c r="C415" s="42" t="n"/>
      <c r="D415" s="40" t="n"/>
    </row>
    <row r="416">
      <c r="C416" s="42" t="n"/>
      <c r="D416" s="40" t="n"/>
    </row>
    <row r="417">
      <c r="C417" s="42" t="n"/>
      <c r="D417" s="40" t="n"/>
    </row>
    <row r="418">
      <c r="C418" s="42" t="n"/>
      <c r="D418" s="40" t="n"/>
    </row>
    <row r="419">
      <c r="C419" s="42" t="n"/>
      <c r="D419" s="40" t="n"/>
    </row>
    <row r="420">
      <c r="C420" s="42" t="n"/>
      <c r="D420" s="40" t="n"/>
    </row>
    <row r="421">
      <c r="C421" s="42" t="n"/>
      <c r="D421" s="40" t="n"/>
    </row>
    <row r="422">
      <c r="C422" s="42" t="n"/>
      <c r="D422" s="40" t="n"/>
    </row>
    <row r="423">
      <c r="C423" s="42" t="n"/>
      <c r="D423" s="40" t="n"/>
    </row>
    <row r="424">
      <c r="C424" s="42" t="n"/>
      <c r="D424" s="40" t="n"/>
    </row>
    <row r="425">
      <c r="C425" s="42" t="n"/>
      <c r="D425" s="40" t="n"/>
    </row>
    <row r="426">
      <c r="C426" s="42" t="n"/>
      <c r="D426" s="40" t="n"/>
    </row>
    <row r="427">
      <c r="C427" s="42" t="n"/>
      <c r="D427" s="40" t="n"/>
    </row>
    <row r="428">
      <c r="C428" s="42" t="n"/>
      <c r="D428" s="40" t="n"/>
    </row>
    <row r="429">
      <c r="C429" s="42" t="n"/>
      <c r="D429" s="40" t="n"/>
    </row>
    <row r="430">
      <c r="C430" s="42" t="n"/>
      <c r="D430" s="40" t="n"/>
    </row>
    <row r="431">
      <c r="C431" s="42" t="n"/>
      <c r="D431" s="40" t="n"/>
    </row>
    <row r="432">
      <c r="C432" s="42" t="n"/>
      <c r="D432" s="40" t="n"/>
    </row>
    <row r="433">
      <c r="C433" s="42" t="n"/>
      <c r="D433" s="40" t="n"/>
    </row>
    <row r="434">
      <c r="C434" s="42" t="n"/>
      <c r="D434" s="40" t="n"/>
    </row>
    <row r="435">
      <c r="C435" s="42" t="n"/>
      <c r="D435" s="40" t="n"/>
    </row>
    <row r="436">
      <c r="C436" s="42" t="n"/>
      <c r="D436" s="40" t="n"/>
    </row>
    <row r="437">
      <c r="C437" s="42" t="n"/>
      <c r="D437" s="40" t="n"/>
    </row>
    <row r="438">
      <c r="C438" s="42" t="n"/>
      <c r="D438" s="40" t="n"/>
    </row>
    <row r="439">
      <c r="C439" s="42" t="n"/>
      <c r="D439" s="40" t="n"/>
    </row>
    <row r="440">
      <c r="C440" s="42" t="n"/>
      <c r="D440" s="40" t="n"/>
    </row>
    <row r="441">
      <c r="C441" s="42" t="n"/>
      <c r="D441" s="40" t="n"/>
    </row>
    <row r="442">
      <c r="C442" s="42" t="n"/>
      <c r="D442" s="40" t="n"/>
    </row>
    <row r="443">
      <c r="C443" s="42" t="n"/>
      <c r="D443" s="40" t="n"/>
    </row>
    <row r="444">
      <c r="C444" s="42" t="n"/>
      <c r="D444" s="40" t="n"/>
    </row>
    <row r="445">
      <c r="C445" s="42" t="n"/>
      <c r="D445" s="40" t="n"/>
    </row>
    <row r="446">
      <c r="C446" s="42" t="n"/>
      <c r="D446" s="40" t="n"/>
    </row>
    <row r="447">
      <c r="C447" s="42" t="n"/>
      <c r="D447" s="40" t="n"/>
    </row>
    <row r="448">
      <c r="C448" s="42" t="n"/>
      <c r="D448" s="40" t="n"/>
    </row>
    <row r="449">
      <c r="C449" s="42" t="n"/>
      <c r="D449" s="40" t="n"/>
    </row>
    <row r="450">
      <c r="C450" s="42" t="n"/>
      <c r="D450" s="40" t="n"/>
    </row>
    <row r="451">
      <c r="C451" s="42" t="n"/>
      <c r="D451" s="40" t="n"/>
    </row>
    <row r="452">
      <c r="C452" s="42" t="n"/>
      <c r="D452" s="40" t="n"/>
    </row>
    <row r="453">
      <c r="C453" s="42" t="n"/>
      <c r="D453" s="40" t="n"/>
    </row>
    <row r="454">
      <c r="C454" s="42" t="n"/>
      <c r="D454" s="40" t="n"/>
    </row>
    <row r="455">
      <c r="C455" s="42" t="n"/>
      <c r="D455" s="40" t="n"/>
    </row>
    <row r="456">
      <c r="C456" s="42" t="n"/>
      <c r="D456" s="40" t="n"/>
    </row>
    <row r="457">
      <c r="C457" s="42" t="n"/>
      <c r="D457" s="40" t="n"/>
    </row>
    <row r="458">
      <c r="C458" s="42" t="n"/>
      <c r="D458" s="40" t="n"/>
    </row>
    <row r="459">
      <c r="C459" s="42" t="n"/>
      <c r="D459" s="40" t="n"/>
    </row>
    <row r="460">
      <c r="C460" s="42" t="n"/>
      <c r="D460" s="40" t="n"/>
    </row>
    <row r="461">
      <c r="C461" s="42" t="n"/>
      <c r="D461" s="40" t="n"/>
    </row>
    <row r="462">
      <c r="C462" s="42" t="n"/>
      <c r="D462" s="40" t="n"/>
    </row>
    <row r="463">
      <c r="C463" s="42" t="n"/>
      <c r="D463" s="40" t="n"/>
    </row>
    <row r="464">
      <c r="C464" s="42" t="n"/>
      <c r="D464" s="40" t="n"/>
    </row>
    <row r="465">
      <c r="C465" s="42" t="n"/>
      <c r="D465" s="40" t="n"/>
    </row>
    <row r="466">
      <c r="C466" s="42" t="n"/>
      <c r="D466" s="40" t="n"/>
    </row>
    <row r="467">
      <c r="C467" s="42" t="n"/>
      <c r="D467" s="40" t="n"/>
    </row>
    <row r="468">
      <c r="C468" s="42" t="n"/>
      <c r="D468" s="40" t="n"/>
    </row>
    <row r="469">
      <c r="C469" s="42" t="n"/>
      <c r="D469" s="40" t="n"/>
    </row>
    <row r="470">
      <c r="C470" s="42" t="n"/>
      <c r="D470" s="40" t="n"/>
    </row>
    <row r="471">
      <c r="C471" s="42" t="n"/>
      <c r="D471" s="40" t="n"/>
    </row>
    <row r="472">
      <c r="C472" s="42" t="n"/>
      <c r="D472" s="40" t="n"/>
    </row>
    <row r="473">
      <c r="C473" s="42" t="n"/>
      <c r="D473" s="40" t="n"/>
    </row>
    <row r="474">
      <c r="C474" s="42" t="n"/>
      <c r="D474" s="40" t="n"/>
    </row>
    <row r="475">
      <c r="C475" s="42" t="n"/>
      <c r="D475" s="40" t="n"/>
    </row>
    <row r="476">
      <c r="C476" s="42" t="n"/>
      <c r="D476" s="40" t="n"/>
    </row>
    <row r="477">
      <c r="C477" s="42" t="n"/>
      <c r="D477" s="40" t="n"/>
    </row>
    <row r="478">
      <c r="C478" s="42" t="n"/>
      <c r="D478" s="40" t="n"/>
    </row>
    <row r="479">
      <c r="C479" s="42" t="n"/>
      <c r="D479" s="40" t="n"/>
    </row>
    <row r="480">
      <c r="C480" s="42" t="n"/>
      <c r="D480" s="40" t="n"/>
    </row>
    <row r="481">
      <c r="C481" s="42" t="n"/>
      <c r="D481" s="40" t="n"/>
    </row>
    <row r="482">
      <c r="C482" s="42" t="n"/>
      <c r="D482" s="40" t="n"/>
    </row>
    <row r="483">
      <c r="C483" s="42" t="n"/>
      <c r="D483" s="40" t="n"/>
    </row>
    <row r="484">
      <c r="C484" s="42" t="n"/>
      <c r="D484" s="40" t="n"/>
    </row>
    <row r="485">
      <c r="C485" s="42" t="n"/>
      <c r="D485" s="40" t="n"/>
    </row>
    <row r="486">
      <c r="C486" s="42" t="n"/>
      <c r="D486" s="40" t="n"/>
    </row>
    <row r="487">
      <c r="C487" s="42" t="n"/>
      <c r="D487" s="40" t="n"/>
    </row>
    <row r="488">
      <c r="C488" s="42" t="n"/>
      <c r="D488" s="40" t="n"/>
    </row>
    <row r="489">
      <c r="C489" s="42" t="n"/>
      <c r="D489" s="40" t="n"/>
    </row>
    <row r="490">
      <c r="C490" s="42" t="n"/>
      <c r="D490" s="40" t="n"/>
    </row>
    <row r="491">
      <c r="C491" s="42" t="n"/>
      <c r="D491" s="40" t="n"/>
    </row>
    <row r="492">
      <c r="C492" s="42" t="n"/>
      <c r="D492" s="40" t="n"/>
    </row>
    <row r="493">
      <c r="C493" s="42" t="n"/>
      <c r="D493" s="40" t="n"/>
    </row>
    <row r="494">
      <c r="C494" s="42" t="n"/>
      <c r="D494" s="40" t="n"/>
    </row>
    <row r="495">
      <c r="C495" s="42" t="n"/>
      <c r="D495" s="40" t="n"/>
    </row>
    <row r="496">
      <c r="C496" s="42" t="n"/>
      <c r="D496" s="40" t="n"/>
    </row>
    <row r="497">
      <c r="C497" s="42" t="n"/>
      <c r="D497" s="40" t="n"/>
    </row>
    <row r="498">
      <c r="C498" s="42" t="n"/>
      <c r="D498" s="40" t="n"/>
    </row>
    <row r="499">
      <c r="C499" s="42" t="n"/>
      <c r="D499" s="40" t="n"/>
    </row>
    <row r="500">
      <c r="C500" s="42" t="n"/>
      <c r="D500" s="40" t="n"/>
    </row>
    <row r="501">
      <c r="C501" s="42" t="n"/>
      <c r="D501" s="40" t="n"/>
    </row>
  </sheetData>
  <mergeCells count="2">
    <mergeCell ref="A1:D1"/>
    <mergeCell ref="F1:G1"/>
  </mergeCells>
  <pageMargins bottom="0.75" footer="0.3" header="0.3" left="0.7" right="0.7" top="0.75"/>
  <drawing r:id="rId1"/>
  <tableParts count="2">
    <tablePart r:id="rId2"/>
    <tablePart r:id="rId3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Sheet8">
    <tabColor rgb="FFFFFF00"/>
    <outlinePr summaryBelow="1" summaryRight="1"/>
    <pageSetUpPr/>
  </sheetPr>
  <dimension ref="A1:E21"/>
  <sheetViews>
    <sheetView topLeftCell="A6" workbookViewId="0">
      <selection activeCell="I23" sqref="I23"/>
    </sheetView>
  </sheetViews>
  <sheetFormatPr baseColWidth="8" defaultRowHeight="15"/>
  <cols>
    <col customWidth="1" max="1" min="1" style="70" width="25.140625"/>
    <col customWidth="1" max="5" min="2" style="70" width="20"/>
  </cols>
  <sheetData>
    <row customHeight="1" ht="45" r="1" s="70">
      <c r="A1" s="83" t="inlineStr">
        <is>
          <t>School of Mechanical and Industrial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VLOOKUP(6111,MechanicalReport!F3:G13,2,FALSE)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VLOOKUP(6113,MechanicalReport!F3:G13,2,FALSE)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VLOOKUP(6121,MechanicalReport!F3:G13,2,FALSE)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VLOOKUP(6211,MechanicalReport!F3:G13,2,FALSE)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VLOOKUP(6212,MechanicalReport!F3:G13,2,FALSE)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VLOOKUP(6218,MechanicalReport!F3:G13,2,FALSE)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VLOOKUP(6233,MechanicalReport!F3:G13,2,FALSE)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VLOOKUP(6240,MechanicalReport!F3:G13,2,FALSE)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VLOOKUP(6256,MechanicalReport!F3:G13,2,FALSE)</f>
        <v/>
      </c>
    </row>
    <row r="12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VLOOKUP(6271,MechanicalReport!F3:G13,2,FALSE)</f>
        <v/>
      </c>
    </row>
    <row customHeight="1" ht="37.5" r="15" s="70">
      <c r="A15" s="81" t="inlineStr">
        <is>
          <t>Annual Budget Status of Mechanical</t>
        </is>
      </c>
      <c r="B15" s="74" t="n"/>
    </row>
    <row customHeight="1" ht="15" r="16" s="70">
      <c r="A16" s="84" t="inlineStr">
        <is>
          <t>Annual Budget</t>
        </is>
      </c>
      <c r="B16" s="28">
        <f>VLOOKUP("Mechanical Engineering",AAiTFinance!A3:G8,2,FALSE)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VLOOKUP("Mechanical Engineering",AAiTFinance!A3:F8,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6.xml><?xml version="1.0" encoding="utf-8"?>
<worksheet xmlns:r="http://schemas.openxmlformats.org/officeDocument/2006/relationships" xmlns="http://schemas.openxmlformats.org/spreadsheetml/2006/main">
  <sheetPr codeName="Sheet18">
    <tabColor rgb="FFFFFF00"/>
    <outlinePr summaryBelow="1" summaryRight="1"/>
    <pageSetUpPr/>
  </sheetPr>
  <dimension ref="A1:G501"/>
  <sheetViews>
    <sheetView workbookViewId="0">
      <selection activeCell="G12" sqref="G12"/>
    </sheetView>
  </sheetViews>
  <sheetFormatPr baseColWidth="8" defaultRowHeight="15"/>
  <cols>
    <col customWidth="1" max="1" min="1" style="70" width="17.28515625"/>
    <col customWidth="1" max="2" min="2" style="70" width="15.28515625"/>
    <col customWidth="1" max="3" min="3" style="70" width="21.42578125"/>
    <col customWidth="1" max="4" min="4" style="70" width="22.85546875"/>
    <col customWidth="1" max="6" min="6" style="70" width="19.28515625"/>
    <col customWidth="1" max="7" min="7" style="70" width="19.42578125"/>
  </cols>
  <sheetData>
    <row customHeight="1" ht="37.5" r="1" s="70">
      <c r="A1" s="80" t="inlineStr">
        <is>
          <t>Budget Report of School of Electrical and Computer Engineering</t>
        </is>
      </c>
      <c r="F1" s="80" t="inlineStr">
        <is>
          <t>Summarized format of the report Electrical engineering</t>
        </is>
      </c>
    </row>
    <row customHeight="1" ht="30" r="2" s="70">
      <c r="A2" t="inlineStr">
        <is>
          <t>Date</t>
        </is>
      </c>
      <c r="B2" t="inlineStr">
        <is>
          <t>Budget Code</t>
        </is>
      </c>
      <c r="C2" s="3" t="inlineStr">
        <is>
          <t>Reason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C3" s="42" t="n"/>
      <c r="D3" s="40" t="n"/>
      <c r="F3" s="6" t="n">
        <v>6111</v>
      </c>
      <c r="G3" s="40">
        <f>SUMIF(Table13[Budget Code],"=6111", Table13[Withdrawal])</f>
        <v/>
      </c>
    </row>
    <row r="4">
      <c r="B4" s="6" t="n"/>
      <c r="C4" s="43" t="n"/>
      <c r="D4" s="40" t="n"/>
      <c r="F4" s="7" t="n">
        <v>6113</v>
      </c>
      <c r="G4" s="40">
        <f>SUMIF(Table13[Budget Code],"=6113", Table13[Withdrawal])</f>
        <v/>
      </c>
    </row>
    <row r="5">
      <c r="C5" s="42" t="n"/>
      <c r="D5" s="40" t="n"/>
      <c r="F5" s="7" t="n">
        <v>6121</v>
      </c>
      <c r="G5" s="40">
        <f>SUMIF(Table13[Budget Code],"=6121", Table13[Withdrawal])</f>
        <v/>
      </c>
    </row>
    <row r="6">
      <c r="C6" s="42" t="n"/>
      <c r="D6" s="40" t="n"/>
      <c r="F6" s="7" t="n">
        <v>6211</v>
      </c>
      <c r="G6" s="40">
        <f>SUMIF(Table13[Budget Code],"=6211", Table13[Withdrawal])</f>
        <v/>
      </c>
    </row>
    <row r="7">
      <c r="C7" s="42" t="n"/>
      <c r="D7" s="40" t="n"/>
      <c r="F7" s="7" t="n">
        <v>6212</v>
      </c>
      <c r="G7" s="40">
        <f>SUMIF(Table13[Budget Code],"=6212", Table13[Withdrawal])</f>
        <v/>
      </c>
    </row>
    <row r="8">
      <c r="C8" s="42" t="n"/>
      <c r="D8" s="40" t="n"/>
      <c r="F8" s="7" t="n">
        <v>6218</v>
      </c>
      <c r="G8" s="40">
        <f>SUMIF(Table13[Budget Code],"=6218", Table13[Withdrawal])</f>
        <v/>
      </c>
    </row>
    <row r="9">
      <c r="C9" s="42" t="n"/>
      <c r="D9" s="40" t="n"/>
      <c r="F9" s="7" t="n">
        <v>6233</v>
      </c>
      <c r="G9" s="40">
        <f>SUMIF(Table13[Budget Code],"=6233", Table13[Withdrawal])</f>
        <v/>
      </c>
    </row>
    <row r="10">
      <c r="C10" s="42" t="n"/>
      <c r="D10" s="40" t="n"/>
      <c r="F10" s="7" t="n">
        <v>6240</v>
      </c>
      <c r="G10" s="40">
        <f>SUMIF(Table13[Budget Code],"=6240", Table13[Withdrawal])</f>
        <v/>
      </c>
    </row>
    <row r="11">
      <c r="C11" s="42" t="n"/>
      <c r="D11" s="40" t="n"/>
      <c r="F11" s="7" t="n">
        <v>6256</v>
      </c>
      <c r="G11" s="40">
        <f>SUMIF(Table13[Budget Code],"=6256", Table13[Withdrawal])</f>
        <v/>
      </c>
    </row>
    <row r="12">
      <c r="C12" s="42" t="n"/>
      <c r="D12" s="40" t="n"/>
      <c r="F12" s="7" t="n">
        <v>6271</v>
      </c>
      <c r="G12" s="40">
        <f>SUMIF(Table13[Budget Code],"=6271", Table13[Withdrawal])</f>
        <v/>
      </c>
    </row>
    <row r="13">
      <c r="C13" s="42" t="n"/>
      <c r="D13" s="40" t="n"/>
      <c r="F13" s="8" t="inlineStr">
        <is>
          <t>Annual Expenditure</t>
        </is>
      </c>
      <c r="G13" s="33">
        <f>SUBTOTAL(109,Table791113[Withdrawal])</f>
        <v/>
      </c>
    </row>
    <row r="14">
      <c r="C14" s="42" t="n"/>
      <c r="D14" s="40" t="n"/>
    </row>
    <row r="15">
      <c r="C15" s="42" t="n"/>
      <c r="D15" s="40" t="n"/>
    </row>
    <row r="16">
      <c r="C16" s="42" t="n"/>
      <c r="D16" s="40" t="n"/>
    </row>
    <row r="17">
      <c r="C17" s="42" t="n"/>
      <c r="D17" s="40" t="n"/>
    </row>
    <row r="18">
      <c r="C18" s="42" t="n"/>
      <c r="D18" s="40" t="n"/>
    </row>
    <row r="19">
      <c r="C19" s="42" t="n"/>
      <c r="D19" s="40" t="n"/>
    </row>
    <row r="20">
      <c r="C20" s="42" t="n"/>
      <c r="D20" s="40" t="n"/>
    </row>
    <row r="21">
      <c r="C21" s="42" t="n"/>
      <c r="D21" s="40" t="n"/>
    </row>
    <row r="22">
      <c r="C22" s="42" t="n"/>
      <c r="D22" s="40" t="n"/>
    </row>
    <row r="23">
      <c r="C23" s="42" t="n"/>
      <c r="D23" s="40" t="n"/>
    </row>
    <row r="24">
      <c r="C24" s="42" t="n"/>
      <c r="D24" s="40" t="n"/>
    </row>
    <row r="25">
      <c r="C25" s="42" t="n"/>
      <c r="D25" s="40" t="n"/>
    </row>
    <row r="26">
      <c r="C26" s="42" t="n"/>
      <c r="D26" s="40" t="n"/>
    </row>
    <row r="27">
      <c r="C27" s="42" t="n"/>
      <c r="D27" s="40" t="n"/>
    </row>
    <row r="28">
      <c r="C28" s="42" t="n"/>
      <c r="D28" s="40" t="n"/>
    </row>
    <row r="29">
      <c r="C29" s="42" t="n"/>
      <c r="D29" s="40" t="n"/>
    </row>
    <row r="30">
      <c r="C30" s="42" t="n"/>
      <c r="D30" s="40" t="n"/>
    </row>
    <row r="31">
      <c r="C31" s="42" t="n"/>
      <c r="D31" s="40" t="n"/>
    </row>
    <row r="32">
      <c r="C32" s="42" t="n"/>
      <c r="D32" s="40" t="n"/>
    </row>
    <row r="33">
      <c r="C33" s="42" t="n"/>
      <c r="D33" s="40" t="n"/>
    </row>
    <row r="34">
      <c r="C34" s="42" t="n"/>
      <c r="D34" s="40" t="n"/>
    </row>
    <row r="35">
      <c r="C35" s="42" t="n"/>
      <c r="D35" s="40" t="n"/>
    </row>
    <row r="36">
      <c r="C36" s="42" t="n"/>
      <c r="D36" s="40" t="n"/>
    </row>
    <row r="37">
      <c r="C37" s="42" t="n"/>
      <c r="D37" s="40" t="n"/>
    </row>
    <row r="38">
      <c r="C38" s="42" t="n"/>
      <c r="D38" s="40" t="n"/>
    </row>
    <row r="39">
      <c r="C39" s="42" t="n"/>
      <c r="D39" s="40" t="n"/>
    </row>
    <row r="40">
      <c r="C40" s="42" t="n"/>
      <c r="D40" s="40" t="n"/>
    </row>
    <row r="41">
      <c r="C41" s="42" t="n"/>
      <c r="D41" s="40" t="n"/>
    </row>
    <row r="42">
      <c r="C42" s="42" t="n"/>
      <c r="D42" s="40" t="n"/>
    </row>
    <row r="43">
      <c r="C43" s="42" t="n"/>
      <c r="D43" s="40" t="n"/>
    </row>
    <row r="44">
      <c r="C44" s="42" t="n"/>
      <c r="D44" s="40" t="n"/>
    </row>
    <row r="45">
      <c r="C45" s="42" t="n"/>
      <c r="D45" s="40" t="n"/>
    </row>
    <row r="46">
      <c r="C46" s="42" t="n"/>
      <c r="D46" s="40" t="n"/>
    </row>
    <row r="47">
      <c r="C47" s="42" t="n"/>
      <c r="D47" s="40" t="n"/>
    </row>
    <row r="48">
      <c r="C48" s="42" t="n"/>
      <c r="D48" s="40" t="n"/>
    </row>
    <row r="49">
      <c r="C49" s="42" t="n"/>
      <c r="D49" s="40" t="n"/>
    </row>
    <row r="50">
      <c r="C50" s="42" t="n"/>
      <c r="D50" s="40" t="n"/>
    </row>
    <row r="51">
      <c r="C51" s="42" t="n"/>
      <c r="D51" s="40" t="n"/>
    </row>
    <row r="52">
      <c r="C52" s="42" t="n"/>
      <c r="D52" s="40" t="n"/>
    </row>
    <row r="53">
      <c r="C53" s="42" t="n"/>
      <c r="D53" s="40" t="n"/>
    </row>
    <row r="54">
      <c r="C54" s="42" t="n"/>
      <c r="D54" s="40" t="n"/>
    </row>
    <row r="55">
      <c r="C55" s="42" t="n"/>
      <c r="D55" s="40" t="n"/>
    </row>
    <row r="56">
      <c r="C56" s="42" t="n"/>
      <c r="D56" s="40" t="n"/>
    </row>
    <row r="57">
      <c r="C57" s="42" t="n"/>
      <c r="D57" s="40" t="n"/>
    </row>
    <row r="58">
      <c r="C58" s="42" t="n"/>
      <c r="D58" s="40" t="n"/>
    </row>
    <row r="59">
      <c r="C59" s="42" t="n"/>
      <c r="D59" s="40" t="n"/>
    </row>
    <row r="60">
      <c r="C60" s="42" t="n"/>
      <c r="D60" s="40" t="n"/>
    </row>
    <row r="61">
      <c r="C61" s="42" t="n"/>
      <c r="D61" s="40" t="n"/>
    </row>
    <row r="62">
      <c r="C62" s="42" t="n"/>
      <c r="D62" s="40" t="n"/>
    </row>
    <row r="63">
      <c r="C63" s="42" t="n"/>
      <c r="D63" s="40" t="n"/>
    </row>
    <row r="64">
      <c r="C64" s="42" t="n"/>
      <c r="D64" s="40" t="n"/>
    </row>
    <row r="65">
      <c r="C65" s="42" t="n"/>
      <c r="D65" s="40" t="n"/>
    </row>
    <row r="66">
      <c r="C66" s="42" t="n"/>
      <c r="D66" s="40" t="n"/>
    </row>
    <row r="67">
      <c r="C67" s="42" t="n"/>
      <c r="D67" s="40" t="n"/>
    </row>
    <row r="68">
      <c r="C68" s="42" t="n"/>
      <c r="D68" s="40" t="n"/>
    </row>
    <row r="69">
      <c r="C69" s="42" t="n"/>
      <c r="D69" s="40" t="n"/>
    </row>
    <row r="70">
      <c r="C70" s="42" t="n"/>
      <c r="D70" s="40" t="n"/>
    </row>
    <row r="71">
      <c r="C71" s="42" t="n"/>
      <c r="D71" s="40" t="n"/>
    </row>
    <row r="72">
      <c r="C72" s="42" t="n"/>
      <c r="D72" s="40" t="n"/>
    </row>
    <row r="73">
      <c r="C73" s="42" t="n"/>
      <c r="D73" s="40" t="n"/>
    </row>
    <row r="74">
      <c r="C74" s="42" t="n"/>
      <c r="D74" s="40" t="n"/>
    </row>
    <row r="75">
      <c r="C75" s="42" t="n"/>
      <c r="D75" s="40" t="n"/>
    </row>
    <row r="76">
      <c r="C76" s="42" t="n"/>
      <c r="D76" s="40" t="n"/>
    </row>
    <row r="77">
      <c r="C77" s="42" t="n"/>
      <c r="D77" s="40" t="n"/>
    </row>
    <row r="78">
      <c r="C78" s="42" t="n"/>
      <c r="D78" s="40" t="n"/>
    </row>
    <row r="79">
      <c r="C79" s="42" t="n"/>
      <c r="D79" s="40" t="n"/>
    </row>
    <row r="80">
      <c r="C80" s="42" t="n"/>
      <c r="D80" s="40" t="n"/>
    </row>
    <row r="81">
      <c r="C81" s="42" t="n"/>
      <c r="D81" s="40" t="n"/>
    </row>
    <row r="82">
      <c r="C82" s="42" t="n"/>
      <c r="D82" s="40" t="n"/>
    </row>
    <row r="83">
      <c r="C83" s="42" t="n"/>
      <c r="D83" s="40" t="n"/>
    </row>
    <row r="84">
      <c r="C84" s="42" t="n"/>
      <c r="D84" s="40" t="n"/>
    </row>
    <row r="85">
      <c r="C85" s="42" t="n"/>
      <c r="D85" s="40" t="n"/>
    </row>
    <row r="86">
      <c r="C86" s="42" t="n"/>
      <c r="D86" s="40" t="n"/>
    </row>
    <row r="87">
      <c r="C87" s="42" t="n"/>
      <c r="D87" s="40" t="n"/>
    </row>
    <row r="88">
      <c r="C88" s="42" t="n"/>
      <c r="D88" s="40" t="n"/>
    </row>
    <row r="89">
      <c r="C89" s="42" t="n"/>
      <c r="D89" s="40" t="n"/>
    </row>
    <row r="90">
      <c r="C90" s="42" t="n"/>
      <c r="D90" s="40" t="n"/>
    </row>
    <row r="91">
      <c r="C91" s="42" t="n"/>
      <c r="D91" s="40" t="n"/>
    </row>
    <row r="92">
      <c r="C92" s="42" t="n"/>
      <c r="D92" s="40" t="n"/>
    </row>
    <row r="93">
      <c r="C93" s="42" t="n"/>
      <c r="D93" s="40" t="n"/>
    </row>
    <row r="94">
      <c r="C94" s="42" t="n"/>
      <c r="D94" s="40" t="n"/>
    </row>
    <row r="95">
      <c r="C95" s="42" t="n"/>
      <c r="D95" s="40" t="n"/>
    </row>
    <row r="96">
      <c r="C96" s="42" t="n"/>
      <c r="D96" s="40" t="n"/>
    </row>
    <row r="97">
      <c r="C97" s="42" t="n"/>
      <c r="D97" s="40" t="n"/>
    </row>
    <row r="98">
      <c r="C98" s="42" t="n"/>
      <c r="D98" s="40" t="n"/>
    </row>
    <row r="99">
      <c r="C99" s="42" t="n"/>
      <c r="D99" s="40" t="n"/>
    </row>
    <row r="100">
      <c r="C100" s="42" t="n"/>
      <c r="D100" s="40" t="n"/>
    </row>
    <row r="101">
      <c r="C101" s="42" t="n"/>
      <c r="D101" s="40" t="n"/>
    </row>
    <row r="102">
      <c r="C102" s="42" t="n"/>
      <c r="D102" s="40" t="n"/>
    </row>
    <row r="103">
      <c r="C103" s="42" t="n"/>
      <c r="D103" s="40" t="n"/>
    </row>
    <row r="104">
      <c r="C104" s="42" t="n"/>
      <c r="D104" s="40" t="n"/>
    </row>
    <row r="105">
      <c r="C105" s="42" t="n"/>
      <c r="D105" s="40" t="n"/>
    </row>
    <row r="106">
      <c r="C106" s="42" t="n"/>
      <c r="D106" s="40" t="n"/>
    </row>
    <row r="107">
      <c r="C107" s="42" t="n"/>
      <c r="D107" s="40" t="n"/>
    </row>
    <row r="108">
      <c r="C108" s="42" t="n"/>
      <c r="D108" s="40" t="n"/>
    </row>
    <row r="109">
      <c r="C109" s="42" t="n"/>
      <c r="D109" s="40" t="n"/>
    </row>
    <row r="110">
      <c r="C110" s="42" t="n"/>
      <c r="D110" s="40" t="n"/>
    </row>
    <row r="111">
      <c r="C111" s="42" t="n"/>
      <c r="D111" s="40" t="n"/>
    </row>
    <row r="112">
      <c r="C112" s="42" t="n"/>
      <c r="D112" s="40" t="n"/>
    </row>
    <row r="113">
      <c r="C113" s="42" t="n"/>
      <c r="D113" s="40" t="n"/>
    </row>
    <row r="114">
      <c r="C114" s="42" t="n"/>
      <c r="D114" s="40" t="n"/>
    </row>
    <row r="115">
      <c r="C115" s="42" t="n"/>
      <c r="D115" s="40" t="n"/>
    </row>
    <row r="116">
      <c r="C116" s="42" t="n"/>
      <c r="D116" s="40" t="n"/>
    </row>
    <row r="117">
      <c r="C117" s="42" t="n"/>
      <c r="D117" s="40" t="n"/>
    </row>
    <row r="118">
      <c r="C118" s="42" t="n"/>
      <c r="D118" s="40" t="n"/>
    </row>
    <row r="119">
      <c r="C119" s="42" t="n"/>
      <c r="D119" s="40" t="n"/>
    </row>
    <row r="120">
      <c r="C120" s="42" t="n"/>
      <c r="D120" s="40" t="n"/>
    </row>
    <row r="121">
      <c r="C121" s="42" t="n"/>
      <c r="D121" s="40" t="n"/>
    </row>
    <row r="122">
      <c r="C122" s="42" t="n"/>
      <c r="D122" s="40" t="n"/>
    </row>
    <row r="123">
      <c r="C123" s="42" t="n"/>
      <c r="D123" s="40" t="n"/>
    </row>
    <row r="124">
      <c r="C124" s="42" t="n"/>
      <c r="D124" s="40" t="n"/>
    </row>
    <row r="125">
      <c r="C125" s="42" t="n"/>
      <c r="D125" s="40" t="n"/>
    </row>
    <row r="126">
      <c r="C126" s="42" t="n"/>
      <c r="D126" s="40" t="n"/>
    </row>
    <row r="127">
      <c r="C127" s="42" t="n"/>
      <c r="D127" s="40" t="n"/>
    </row>
    <row r="128">
      <c r="C128" s="42" t="n"/>
      <c r="D128" s="40" t="n"/>
    </row>
    <row r="129">
      <c r="C129" s="42" t="n"/>
      <c r="D129" s="40" t="n"/>
    </row>
    <row r="130">
      <c r="C130" s="42" t="n"/>
      <c r="D130" s="40" t="n"/>
    </row>
    <row r="131">
      <c r="C131" s="42" t="n"/>
      <c r="D131" s="40" t="n"/>
    </row>
    <row r="132">
      <c r="C132" s="42" t="n"/>
      <c r="D132" s="40" t="n"/>
    </row>
    <row r="133">
      <c r="C133" s="42" t="n"/>
      <c r="D133" s="40" t="n"/>
    </row>
    <row r="134">
      <c r="C134" s="42" t="n"/>
      <c r="D134" s="40" t="n"/>
    </row>
    <row r="135">
      <c r="C135" s="42" t="n"/>
      <c r="D135" s="40" t="n"/>
    </row>
    <row r="136">
      <c r="C136" s="42" t="n"/>
      <c r="D136" s="40" t="n"/>
    </row>
    <row r="137">
      <c r="C137" s="42" t="n"/>
      <c r="D137" s="40" t="n"/>
    </row>
    <row r="138">
      <c r="C138" s="42" t="n"/>
      <c r="D138" s="40" t="n"/>
    </row>
    <row r="139">
      <c r="C139" s="42" t="n"/>
      <c r="D139" s="40" t="n"/>
    </row>
    <row r="140">
      <c r="C140" s="42" t="n"/>
      <c r="D140" s="40" t="n"/>
    </row>
    <row r="141">
      <c r="C141" s="42" t="n"/>
      <c r="D141" s="40" t="n"/>
    </row>
    <row r="142">
      <c r="C142" s="42" t="n"/>
      <c r="D142" s="40" t="n"/>
    </row>
    <row r="143">
      <c r="C143" s="42" t="n"/>
      <c r="D143" s="40" t="n"/>
    </row>
    <row r="144">
      <c r="C144" s="42" t="n"/>
      <c r="D144" s="40" t="n"/>
    </row>
    <row r="145">
      <c r="C145" s="42" t="n"/>
      <c r="D145" s="40" t="n"/>
    </row>
    <row r="146">
      <c r="C146" s="42" t="n"/>
      <c r="D146" s="40" t="n"/>
    </row>
    <row r="147">
      <c r="C147" s="42" t="n"/>
      <c r="D147" s="40" t="n"/>
    </row>
    <row r="148">
      <c r="C148" s="42" t="n"/>
      <c r="D148" s="40" t="n"/>
    </row>
    <row r="149">
      <c r="C149" s="42" t="n"/>
      <c r="D149" s="40" t="n"/>
    </row>
    <row r="150">
      <c r="C150" s="42" t="n"/>
      <c r="D150" s="40" t="n"/>
    </row>
    <row r="151">
      <c r="C151" s="42" t="n"/>
      <c r="D151" s="40" t="n"/>
    </row>
    <row r="152">
      <c r="C152" s="42" t="n"/>
      <c r="D152" s="40" t="n"/>
    </row>
    <row r="153">
      <c r="C153" s="42" t="n"/>
      <c r="D153" s="40" t="n"/>
    </row>
    <row r="154">
      <c r="C154" s="42" t="n"/>
      <c r="D154" s="40" t="n"/>
    </row>
    <row r="155">
      <c r="C155" s="42" t="n"/>
      <c r="D155" s="40" t="n"/>
    </row>
    <row r="156">
      <c r="C156" s="42" t="n"/>
      <c r="D156" s="40" t="n"/>
    </row>
    <row r="157">
      <c r="C157" s="42" t="n"/>
      <c r="D157" s="40" t="n"/>
    </row>
    <row r="158">
      <c r="C158" s="42" t="n"/>
      <c r="D158" s="40" t="n"/>
    </row>
    <row r="159">
      <c r="C159" s="42" t="n"/>
      <c r="D159" s="40" t="n"/>
    </row>
    <row r="160">
      <c r="C160" s="42" t="n"/>
      <c r="D160" s="40" t="n"/>
    </row>
    <row r="161">
      <c r="C161" s="42" t="n"/>
      <c r="D161" s="40" t="n"/>
    </row>
    <row r="162">
      <c r="C162" s="42" t="n"/>
      <c r="D162" s="40" t="n"/>
    </row>
    <row r="163">
      <c r="C163" s="42" t="n"/>
      <c r="D163" s="40" t="n"/>
    </row>
    <row r="164">
      <c r="C164" s="42" t="n"/>
      <c r="D164" s="40" t="n"/>
    </row>
    <row r="165">
      <c r="C165" s="42" t="n"/>
      <c r="D165" s="40" t="n"/>
    </row>
    <row r="166">
      <c r="C166" s="42" t="n"/>
      <c r="D166" s="40" t="n"/>
    </row>
    <row r="167">
      <c r="C167" s="42" t="n"/>
      <c r="D167" s="40" t="n"/>
    </row>
    <row r="168">
      <c r="C168" s="42" t="n"/>
      <c r="D168" s="40" t="n"/>
    </row>
    <row r="169">
      <c r="C169" s="42" t="n"/>
      <c r="D169" s="40" t="n"/>
    </row>
    <row r="170">
      <c r="C170" s="42" t="n"/>
      <c r="D170" s="40" t="n"/>
    </row>
    <row r="171">
      <c r="C171" s="42" t="n"/>
      <c r="D171" s="40" t="n"/>
    </row>
    <row r="172">
      <c r="C172" s="42" t="n"/>
      <c r="D172" s="40" t="n"/>
    </row>
    <row r="173">
      <c r="C173" s="42" t="n"/>
      <c r="D173" s="40" t="n"/>
    </row>
    <row r="174">
      <c r="C174" s="42" t="n"/>
      <c r="D174" s="40" t="n"/>
    </row>
    <row r="175">
      <c r="C175" s="42" t="n"/>
      <c r="D175" s="40" t="n"/>
    </row>
    <row r="176">
      <c r="C176" s="42" t="n"/>
      <c r="D176" s="40" t="n"/>
    </row>
    <row r="177">
      <c r="C177" s="42" t="n"/>
      <c r="D177" s="40" t="n"/>
    </row>
    <row r="178">
      <c r="C178" s="42" t="n"/>
      <c r="D178" s="40" t="n"/>
    </row>
    <row r="179">
      <c r="C179" s="42" t="n"/>
      <c r="D179" s="40" t="n"/>
    </row>
    <row r="180">
      <c r="C180" s="42" t="n"/>
      <c r="D180" s="40" t="n"/>
    </row>
    <row r="181">
      <c r="C181" s="42" t="n"/>
      <c r="D181" s="40" t="n"/>
    </row>
    <row r="182">
      <c r="C182" s="42" t="n"/>
      <c r="D182" s="40" t="n"/>
    </row>
    <row r="183">
      <c r="C183" s="42" t="n"/>
      <c r="D183" s="40" t="n"/>
    </row>
    <row r="184">
      <c r="C184" s="42" t="n"/>
      <c r="D184" s="40" t="n"/>
    </row>
    <row r="185">
      <c r="C185" s="42" t="n"/>
      <c r="D185" s="40" t="n"/>
    </row>
    <row r="186">
      <c r="C186" s="42" t="n"/>
      <c r="D186" s="40" t="n"/>
    </row>
    <row r="187">
      <c r="C187" s="42" t="n"/>
      <c r="D187" s="40" t="n"/>
    </row>
    <row r="188">
      <c r="C188" s="42" t="n"/>
      <c r="D188" s="40" t="n"/>
    </row>
    <row r="189">
      <c r="C189" s="42" t="n"/>
      <c r="D189" s="40" t="n"/>
    </row>
    <row r="190">
      <c r="C190" s="42" t="n"/>
      <c r="D190" s="40" t="n"/>
    </row>
    <row r="191">
      <c r="C191" s="42" t="n"/>
      <c r="D191" s="40" t="n"/>
    </row>
    <row r="192">
      <c r="C192" s="42" t="n"/>
      <c r="D192" s="40" t="n"/>
    </row>
    <row r="193">
      <c r="C193" s="42" t="n"/>
      <c r="D193" s="40" t="n"/>
    </row>
    <row r="194">
      <c r="C194" s="42" t="n"/>
      <c r="D194" s="40" t="n"/>
    </row>
    <row r="195">
      <c r="C195" s="42" t="n"/>
      <c r="D195" s="40" t="n"/>
    </row>
    <row r="196">
      <c r="C196" s="42" t="n"/>
      <c r="D196" s="40" t="n"/>
    </row>
    <row r="197">
      <c r="C197" s="42" t="n"/>
      <c r="D197" s="40" t="n"/>
    </row>
    <row r="198">
      <c r="C198" s="42" t="n"/>
      <c r="D198" s="40" t="n"/>
    </row>
    <row r="199">
      <c r="C199" s="42" t="n"/>
      <c r="D199" s="40" t="n"/>
    </row>
    <row r="200">
      <c r="C200" s="42" t="n"/>
      <c r="D200" s="40" t="n"/>
    </row>
    <row r="201">
      <c r="C201" s="42" t="n"/>
      <c r="D201" s="40" t="n"/>
    </row>
    <row r="202">
      <c r="C202" s="42" t="n"/>
      <c r="D202" s="40" t="n"/>
    </row>
    <row r="203">
      <c r="C203" s="42" t="n"/>
      <c r="D203" s="40" t="n"/>
    </row>
    <row r="204">
      <c r="C204" s="42" t="n"/>
      <c r="D204" s="40" t="n"/>
    </row>
    <row r="205">
      <c r="C205" s="42" t="n"/>
      <c r="D205" s="40" t="n"/>
    </row>
    <row r="206">
      <c r="C206" s="42" t="n"/>
      <c r="D206" s="40" t="n"/>
    </row>
    <row r="207">
      <c r="C207" s="42" t="n"/>
      <c r="D207" s="40" t="n"/>
    </row>
    <row r="208">
      <c r="C208" s="42" t="n"/>
      <c r="D208" s="40" t="n"/>
    </row>
    <row r="209">
      <c r="C209" s="42" t="n"/>
      <c r="D209" s="40" t="n"/>
    </row>
    <row r="210">
      <c r="C210" s="42" t="n"/>
      <c r="D210" s="40" t="n"/>
    </row>
    <row r="211">
      <c r="C211" s="42" t="n"/>
      <c r="D211" s="40" t="n"/>
    </row>
    <row r="212">
      <c r="C212" s="42" t="n"/>
      <c r="D212" s="40" t="n"/>
    </row>
    <row r="213">
      <c r="C213" s="42" t="n"/>
      <c r="D213" s="40" t="n"/>
    </row>
    <row r="214">
      <c r="C214" s="42" t="n"/>
      <c r="D214" s="40" t="n"/>
    </row>
    <row r="215">
      <c r="C215" s="42" t="n"/>
      <c r="D215" s="40" t="n"/>
    </row>
    <row r="216">
      <c r="C216" s="42" t="n"/>
      <c r="D216" s="40" t="n"/>
    </row>
    <row r="217">
      <c r="C217" s="42" t="n"/>
      <c r="D217" s="40" t="n"/>
    </row>
    <row r="218">
      <c r="C218" s="42" t="n"/>
      <c r="D218" s="40" t="n"/>
    </row>
    <row r="219">
      <c r="C219" s="42" t="n"/>
      <c r="D219" s="40" t="n"/>
    </row>
    <row r="220">
      <c r="C220" s="42" t="n"/>
      <c r="D220" s="40" t="n"/>
    </row>
    <row r="221">
      <c r="C221" s="42" t="n"/>
      <c r="D221" s="40" t="n"/>
    </row>
    <row r="222">
      <c r="C222" s="42" t="n"/>
      <c r="D222" s="40" t="n"/>
    </row>
    <row r="223">
      <c r="C223" s="42" t="n"/>
      <c r="D223" s="40" t="n"/>
    </row>
    <row r="224">
      <c r="C224" s="42" t="n"/>
      <c r="D224" s="40" t="n"/>
    </row>
    <row r="225">
      <c r="C225" s="42" t="n"/>
      <c r="D225" s="40" t="n"/>
    </row>
    <row r="226">
      <c r="C226" s="42" t="n"/>
      <c r="D226" s="40" t="n"/>
    </row>
    <row r="227">
      <c r="C227" s="42" t="n"/>
      <c r="D227" s="40" t="n"/>
    </row>
    <row r="228">
      <c r="C228" s="42" t="n"/>
      <c r="D228" s="40" t="n"/>
    </row>
    <row r="229">
      <c r="C229" s="42" t="n"/>
      <c r="D229" s="40" t="n"/>
    </row>
    <row r="230">
      <c r="C230" s="42" t="n"/>
      <c r="D230" s="40" t="n"/>
    </row>
    <row r="231">
      <c r="C231" s="42" t="n"/>
      <c r="D231" s="40" t="n"/>
    </row>
    <row r="232">
      <c r="C232" s="42" t="n"/>
      <c r="D232" s="40" t="n"/>
    </row>
    <row r="233">
      <c r="C233" s="42" t="n"/>
      <c r="D233" s="40" t="n"/>
    </row>
    <row r="234">
      <c r="C234" s="42" t="n"/>
      <c r="D234" s="40" t="n"/>
    </row>
    <row r="235">
      <c r="C235" s="42" t="n"/>
      <c r="D235" s="40" t="n"/>
    </row>
    <row r="236">
      <c r="C236" s="42" t="n"/>
      <c r="D236" s="40" t="n"/>
    </row>
    <row r="237">
      <c r="C237" s="42" t="n"/>
      <c r="D237" s="40" t="n"/>
    </row>
    <row r="238">
      <c r="C238" s="42" t="n"/>
      <c r="D238" s="40" t="n"/>
    </row>
    <row r="239">
      <c r="C239" s="42" t="n"/>
      <c r="D239" s="40" t="n"/>
    </row>
    <row r="240">
      <c r="C240" s="42" t="n"/>
      <c r="D240" s="40" t="n"/>
    </row>
    <row r="241">
      <c r="C241" s="42" t="n"/>
      <c r="D241" s="40" t="n"/>
    </row>
    <row r="242">
      <c r="C242" s="42" t="n"/>
      <c r="D242" s="40" t="n"/>
    </row>
    <row r="243">
      <c r="C243" s="42" t="n"/>
      <c r="D243" s="40" t="n"/>
    </row>
    <row r="244">
      <c r="C244" s="42" t="n"/>
      <c r="D244" s="40" t="n"/>
    </row>
    <row r="245">
      <c r="C245" s="42" t="n"/>
      <c r="D245" s="40" t="n"/>
    </row>
    <row r="246">
      <c r="C246" s="42" t="n"/>
      <c r="D246" s="40" t="n"/>
    </row>
    <row r="247">
      <c r="C247" s="42" t="n"/>
      <c r="D247" s="40" t="n"/>
    </row>
    <row r="248">
      <c r="C248" s="42" t="n"/>
      <c r="D248" s="40" t="n"/>
    </row>
    <row r="249">
      <c r="C249" s="42" t="n"/>
      <c r="D249" s="40" t="n"/>
    </row>
    <row r="250">
      <c r="C250" s="42" t="n"/>
      <c r="D250" s="40" t="n"/>
    </row>
    <row r="251">
      <c r="C251" s="42" t="n"/>
      <c r="D251" s="40" t="n"/>
    </row>
    <row r="252">
      <c r="C252" s="42" t="n"/>
      <c r="D252" s="40" t="n"/>
    </row>
    <row r="253">
      <c r="C253" s="42" t="n"/>
      <c r="D253" s="40" t="n"/>
    </row>
    <row r="254">
      <c r="C254" s="42" t="n"/>
      <c r="D254" s="40" t="n"/>
    </row>
    <row r="255">
      <c r="C255" s="42" t="n"/>
      <c r="D255" s="40" t="n"/>
    </row>
    <row r="256">
      <c r="C256" s="42" t="n"/>
      <c r="D256" s="40" t="n"/>
    </row>
    <row r="257">
      <c r="C257" s="42" t="n"/>
      <c r="D257" s="40" t="n"/>
    </row>
    <row r="258">
      <c r="C258" s="42" t="n"/>
      <c r="D258" s="40" t="n"/>
    </row>
    <row r="259">
      <c r="C259" s="42" t="n"/>
      <c r="D259" s="40" t="n"/>
    </row>
    <row r="260">
      <c r="C260" s="42" t="n"/>
      <c r="D260" s="40" t="n"/>
    </row>
    <row r="261">
      <c r="C261" s="42" t="n"/>
      <c r="D261" s="40" t="n"/>
    </row>
    <row r="262">
      <c r="C262" s="42" t="n"/>
      <c r="D262" s="40" t="n"/>
    </row>
    <row r="263">
      <c r="C263" s="42" t="n"/>
      <c r="D263" s="40" t="n"/>
    </row>
    <row r="264">
      <c r="C264" s="42" t="n"/>
      <c r="D264" s="40" t="n"/>
    </row>
    <row r="265">
      <c r="C265" s="42" t="n"/>
      <c r="D265" s="40" t="n"/>
    </row>
    <row r="266">
      <c r="C266" s="42" t="n"/>
      <c r="D266" s="40" t="n"/>
    </row>
    <row r="267">
      <c r="C267" s="42" t="n"/>
      <c r="D267" s="40" t="n"/>
    </row>
    <row r="268">
      <c r="C268" s="42" t="n"/>
      <c r="D268" s="40" t="n"/>
    </row>
    <row r="269">
      <c r="C269" s="42" t="n"/>
      <c r="D269" s="40" t="n"/>
    </row>
    <row r="270">
      <c r="C270" s="42" t="n"/>
      <c r="D270" s="40" t="n"/>
    </row>
    <row r="271">
      <c r="C271" s="42" t="n"/>
      <c r="D271" s="40" t="n"/>
    </row>
    <row r="272">
      <c r="C272" s="42" t="n"/>
      <c r="D272" s="40" t="n"/>
    </row>
    <row r="273">
      <c r="C273" s="42" t="n"/>
      <c r="D273" s="40" t="n"/>
    </row>
    <row r="274">
      <c r="C274" s="42" t="n"/>
      <c r="D274" s="40" t="n"/>
    </row>
    <row r="275">
      <c r="C275" s="42" t="n"/>
      <c r="D275" s="40" t="n"/>
    </row>
    <row r="276">
      <c r="C276" s="42" t="n"/>
      <c r="D276" s="40" t="n"/>
    </row>
    <row r="277">
      <c r="C277" s="42" t="n"/>
      <c r="D277" s="40" t="n"/>
    </row>
    <row r="278">
      <c r="C278" s="42" t="n"/>
      <c r="D278" s="40" t="n"/>
    </row>
    <row r="279">
      <c r="C279" s="42" t="n"/>
      <c r="D279" s="40" t="n"/>
    </row>
    <row r="280">
      <c r="C280" s="42" t="n"/>
      <c r="D280" s="40" t="n"/>
    </row>
    <row r="281">
      <c r="C281" s="42" t="n"/>
      <c r="D281" s="40" t="n"/>
    </row>
    <row r="282">
      <c r="C282" s="42" t="n"/>
      <c r="D282" s="40" t="n"/>
    </row>
    <row r="283">
      <c r="C283" s="42" t="n"/>
      <c r="D283" s="40" t="n"/>
    </row>
    <row r="284">
      <c r="C284" s="42" t="n"/>
      <c r="D284" s="40" t="n"/>
    </row>
    <row r="285">
      <c r="C285" s="42" t="n"/>
      <c r="D285" s="40" t="n"/>
    </row>
    <row r="286">
      <c r="C286" s="42" t="n"/>
      <c r="D286" s="40" t="n"/>
    </row>
    <row r="287">
      <c r="C287" s="42" t="n"/>
      <c r="D287" s="40" t="n"/>
    </row>
    <row r="288">
      <c r="C288" s="42" t="n"/>
      <c r="D288" s="40" t="n"/>
    </row>
    <row r="289">
      <c r="C289" s="42" t="n"/>
      <c r="D289" s="40" t="n"/>
    </row>
    <row r="290">
      <c r="C290" s="42" t="n"/>
      <c r="D290" s="40" t="n"/>
    </row>
    <row r="291">
      <c r="C291" s="42" t="n"/>
      <c r="D291" s="40" t="n"/>
    </row>
    <row r="292">
      <c r="C292" s="42" t="n"/>
      <c r="D292" s="40" t="n"/>
    </row>
    <row r="293">
      <c r="C293" s="42" t="n"/>
      <c r="D293" s="40" t="n"/>
    </row>
    <row r="294">
      <c r="C294" s="42" t="n"/>
      <c r="D294" s="40" t="n"/>
    </row>
    <row r="295">
      <c r="C295" s="42" t="n"/>
      <c r="D295" s="40" t="n"/>
    </row>
    <row r="296">
      <c r="C296" s="42" t="n"/>
      <c r="D296" s="40" t="n"/>
    </row>
    <row r="297">
      <c r="C297" s="42" t="n"/>
      <c r="D297" s="40" t="n"/>
    </row>
    <row r="298">
      <c r="C298" s="42" t="n"/>
      <c r="D298" s="40" t="n"/>
    </row>
    <row r="299">
      <c r="C299" s="42" t="n"/>
      <c r="D299" s="40" t="n"/>
    </row>
    <row r="300">
      <c r="C300" s="42" t="n"/>
      <c r="D300" s="40" t="n"/>
    </row>
    <row r="301">
      <c r="C301" s="42" t="n"/>
      <c r="D301" s="40" t="n"/>
    </row>
    <row r="302">
      <c r="C302" s="42" t="n"/>
      <c r="D302" s="40" t="n"/>
    </row>
    <row r="303">
      <c r="C303" s="42" t="n"/>
      <c r="D303" s="40" t="n"/>
    </row>
    <row r="304">
      <c r="C304" s="42" t="n"/>
      <c r="D304" s="40" t="n"/>
    </row>
    <row r="305">
      <c r="C305" s="42" t="n"/>
      <c r="D305" s="40" t="n"/>
    </row>
    <row r="306">
      <c r="C306" s="42" t="n"/>
      <c r="D306" s="40" t="n"/>
    </row>
    <row r="307">
      <c r="C307" s="42" t="n"/>
      <c r="D307" s="40" t="n"/>
    </row>
    <row r="308">
      <c r="C308" s="42" t="n"/>
      <c r="D308" s="40" t="n"/>
    </row>
    <row r="309">
      <c r="C309" s="42" t="n"/>
      <c r="D309" s="40" t="n"/>
    </row>
    <row r="310">
      <c r="C310" s="42" t="n"/>
      <c r="D310" s="40" t="n"/>
    </row>
    <row r="311">
      <c r="C311" s="42" t="n"/>
      <c r="D311" s="40" t="n"/>
    </row>
    <row r="312">
      <c r="C312" s="42" t="n"/>
      <c r="D312" s="40" t="n"/>
    </row>
    <row r="313">
      <c r="C313" s="42" t="n"/>
      <c r="D313" s="40" t="n"/>
    </row>
    <row r="314">
      <c r="C314" s="42" t="n"/>
      <c r="D314" s="40" t="n"/>
    </row>
    <row r="315">
      <c r="C315" s="42" t="n"/>
      <c r="D315" s="40" t="n"/>
    </row>
    <row r="316">
      <c r="C316" s="42" t="n"/>
      <c r="D316" s="40" t="n"/>
    </row>
    <row r="317">
      <c r="C317" s="42" t="n"/>
      <c r="D317" s="40" t="n"/>
    </row>
    <row r="318">
      <c r="C318" s="42" t="n"/>
      <c r="D318" s="40" t="n"/>
    </row>
    <row r="319">
      <c r="C319" s="42" t="n"/>
      <c r="D319" s="40" t="n"/>
    </row>
    <row r="320">
      <c r="C320" s="42" t="n"/>
      <c r="D320" s="40" t="n"/>
    </row>
    <row r="321">
      <c r="C321" s="42" t="n"/>
      <c r="D321" s="40" t="n"/>
    </row>
    <row r="322">
      <c r="C322" s="42" t="n"/>
      <c r="D322" s="40" t="n"/>
    </row>
    <row r="323">
      <c r="C323" s="42" t="n"/>
      <c r="D323" s="40" t="n"/>
    </row>
    <row r="324">
      <c r="C324" s="42" t="n"/>
      <c r="D324" s="40" t="n"/>
    </row>
    <row r="325">
      <c r="C325" s="42" t="n"/>
      <c r="D325" s="40" t="n"/>
    </row>
    <row r="326">
      <c r="C326" s="42" t="n"/>
      <c r="D326" s="40" t="n"/>
    </row>
    <row r="327">
      <c r="C327" s="42" t="n"/>
      <c r="D327" s="40" t="n"/>
    </row>
    <row r="328">
      <c r="C328" s="42" t="n"/>
      <c r="D328" s="40" t="n"/>
    </row>
    <row r="329">
      <c r="C329" s="42" t="n"/>
      <c r="D329" s="40" t="n"/>
    </row>
    <row r="330">
      <c r="C330" s="42" t="n"/>
      <c r="D330" s="40" t="n"/>
    </row>
    <row r="331">
      <c r="C331" s="42" t="n"/>
      <c r="D331" s="40" t="n"/>
    </row>
    <row r="332">
      <c r="C332" s="42" t="n"/>
      <c r="D332" s="40" t="n"/>
    </row>
    <row r="333">
      <c r="C333" s="42" t="n"/>
      <c r="D333" s="40" t="n"/>
    </row>
    <row r="334">
      <c r="C334" s="42" t="n"/>
      <c r="D334" s="40" t="n"/>
    </row>
    <row r="335">
      <c r="C335" s="42" t="n"/>
      <c r="D335" s="40" t="n"/>
    </row>
    <row r="336">
      <c r="C336" s="42" t="n"/>
      <c r="D336" s="40" t="n"/>
    </row>
    <row r="337">
      <c r="C337" s="42" t="n"/>
      <c r="D337" s="40" t="n"/>
    </row>
    <row r="338">
      <c r="C338" s="42" t="n"/>
      <c r="D338" s="40" t="n"/>
    </row>
    <row r="339">
      <c r="C339" s="42" t="n"/>
      <c r="D339" s="40" t="n"/>
    </row>
    <row r="340">
      <c r="C340" s="42" t="n"/>
      <c r="D340" s="40" t="n"/>
    </row>
    <row r="341">
      <c r="C341" s="42" t="n"/>
      <c r="D341" s="40" t="n"/>
    </row>
    <row r="342">
      <c r="C342" s="42" t="n"/>
      <c r="D342" s="40" t="n"/>
    </row>
    <row r="343">
      <c r="C343" s="42" t="n"/>
      <c r="D343" s="40" t="n"/>
    </row>
    <row r="344">
      <c r="C344" s="42" t="n"/>
      <c r="D344" s="40" t="n"/>
    </row>
    <row r="345">
      <c r="C345" s="42" t="n"/>
      <c r="D345" s="40" t="n"/>
    </row>
    <row r="346">
      <c r="C346" s="42" t="n"/>
      <c r="D346" s="40" t="n"/>
    </row>
    <row r="347">
      <c r="C347" s="42" t="n"/>
      <c r="D347" s="40" t="n"/>
    </row>
    <row r="348">
      <c r="C348" s="42" t="n"/>
      <c r="D348" s="40" t="n"/>
    </row>
    <row r="349">
      <c r="C349" s="42" t="n"/>
      <c r="D349" s="40" t="n"/>
    </row>
    <row r="350">
      <c r="C350" s="42" t="n"/>
      <c r="D350" s="40" t="n"/>
    </row>
    <row r="351">
      <c r="C351" s="42" t="n"/>
      <c r="D351" s="40" t="n"/>
    </row>
    <row r="352">
      <c r="C352" s="42" t="n"/>
      <c r="D352" s="40" t="n"/>
    </row>
    <row r="353">
      <c r="C353" s="42" t="n"/>
      <c r="D353" s="40" t="n"/>
    </row>
    <row r="354">
      <c r="C354" s="42" t="n"/>
      <c r="D354" s="40" t="n"/>
    </row>
    <row r="355">
      <c r="C355" s="42" t="n"/>
      <c r="D355" s="40" t="n"/>
    </row>
    <row r="356">
      <c r="C356" s="42" t="n"/>
      <c r="D356" s="40" t="n"/>
    </row>
    <row r="357">
      <c r="C357" s="42" t="n"/>
      <c r="D357" s="40" t="n"/>
    </row>
    <row r="358">
      <c r="C358" s="42" t="n"/>
      <c r="D358" s="40" t="n"/>
    </row>
    <row r="359">
      <c r="C359" s="42" t="n"/>
      <c r="D359" s="40" t="n"/>
    </row>
    <row r="360">
      <c r="C360" s="42" t="n"/>
      <c r="D360" s="40" t="n"/>
    </row>
    <row r="361">
      <c r="C361" s="42" t="n"/>
      <c r="D361" s="40" t="n"/>
    </row>
    <row r="362">
      <c r="C362" s="42" t="n"/>
      <c r="D362" s="40" t="n"/>
    </row>
    <row r="363">
      <c r="C363" s="42" t="n"/>
      <c r="D363" s="40" t="n"/>
    </row>
    <row r="364">
      <c r="C364" s="42" t="n"/>
      <c r="D364" s="40" t="n"/>
    </row>
    <row r="365">
      <c r="C365" s="42" t="n"/>
      <c r="D365" s="40" t="n"/>
    </row>
    <row r="366">
      <c r="C366" s="42" t="n"/>
      <c r="D366" s="40" t="n"/>
    </row>
    <row r="367">
      <c r="C367" s="42" t="n"/>
      <c r="D367" s="40" t="n"/>
    </row>
    <row r="368">
      <c r="C368" s="42" t="n"/>
      <c r="D368" s="40" t="n"/>
    </row>
    <row r="369">
      <c r="C369" s="42" t="n"/>
      <c r="D369" s="40" t="n"/>
    </row>
    <row r="370">
      <c r="C370" s="42" t="n"/>
      <c r="D370" s="40" t="n"/>
    </row>
    <row r="371">
      <c r="C371" s="42" t="n"/>
      <c r="D371" s="40" t="n"/>
    </row>
    <row r="372">
      <c r="C372" s="42" t="n"/>
      <c r="D372" s="40" t="n"/>
    </row>
    <row r="373">
      <c r="C373" s="42" t="n"/>
      <c r="D373" s="40" t="n"/>
    </row>
    <row r="374">
      <c r="C374" s="42" t="n"/>
      <c r="D374" s="40" t="n"/>
    </row>
    <row r="375">
      <c r="C375" s="42" t="n"/>
      <c r="D375" s="40" t="n"/>
    </row>
    <row r="376">
      <c r="C376" s="42" t="n"/>
      <c r="D376" s="40" t="n"/>
    </row>
    <row r="377">
      <c r="C377" s="42" t="n"/>
      <c r="D377" s="40" t="n"/>
    </row>
    <row r="378">
      <c r="C378" s="42" t="n"/>
      <c r="D378" s="40" t="n"/>
    </row>
    <row r="379">
      <c r="C379" s="42" t="n"/>
      <c r="D379" s="40" t="n"/>
    </row>
    <row r="380">
      <c r="C380" s="42" t="n"/>
      <c r="D380" s="40" t="n"/>
    </row>
    <row r="381">
      <c r="C381" s="42" t="n"/>
      <c r="D381" s="40" t="n"/>
    </row>
    <row r="382">
      <c r="C382" s="42" t="n"/>
      <c r="D382" s="40" t="n"/>
    </row>
    <row r="383">
      <c r="C383" s="42" t="n"/>
      <c r="D383" s="40" t="n"/>
    </row>
    <row r="384">
      <c r="C384" s="42" t="n"/>
      <c r="D384" s="40" t="n"/>
    </row>
    <row r="385">
      <c r="C385" s="42" t="n"/>
      <c r="D385" s="40" t="n"/>
    </row>
    <row r="386">
      <c r="C386" s="42" t="n"/>
      <c r="D386" s="40" t="n"/>
    </row>
    <row r="387">
      <c r="C387" s="42" t="n"/>
      <c r="D387" s="40" t="n"/>
    </row>
    <row r="388">
      <c r="C388" s="42" t="n"/>
      <c r="D388" s="40" t="n"/>
    </row>
    <row r="389">
      <c r="C389" s="42" t="n"/>
      <c r="D389" s="40" t="n"/>
    </row>
    <row r="390">
      <c r="C390" s="42" t="n"/>
      <c r="D390" s="40" t="n"/>
    </row>
    <row r="391">
      <c r="C391" s="42" t="n"/>
      <c r="D391" s="40" t="n"/>
    </row>
    <row r="392">
      <c r="C392" s="42" t="n"/>
      <c r="D392" s="40" t="n"/>
    </row>
    <row r="393">
      <c r="C393" s="42" t="n"/>
      <c r="D393" s="40" t="n"/>
    </row>
    <row r="394">
      <c r="C394" s="42" t="n"/>
      <c r="D394" s="40" t="n"/>
    </row>
    <row r="395">
      <c r="C395" s="42" t="n"/>
      <c r="D395" s="40" t="n"/>
    </row>
    <row r="396">
      <c r="C396" s="42" t="n"/>
      <c r="D396" s="40" t="n"/>
    </row>
    <row r="397">
      <c r="C397" s="42" t="n"/>
      <c r="D397" s="40" t="n"/>
    </row>
    <row r="398">
      <c r="C398" s="42" t="n"/>
      <c r="D398" s="40" t="n"/>
    </row>
    <row r="399">
      <c r="C399" s="42" t="n"/>
      <c r="D399" s="40" t="n"/>
    </row>
    <row r="400">
      <c r="C400" s="42" t="n"/>
      <c r="D400" s="40" t="n"/>
    </row>
    <row r="401">
      <c r="C401" s="42" t="n"/>
      <c r="D401" s="40" t="n"/>
    </row>
    <row r="402">
      <c r="C402" s="42" t="n"/>
      <c r="D402" s="40" t="n"/>
    </row>
    <row r="403">
      <c r="C403" s="42" t="n"/>
      <c r="D403" s="40" t="n"/>
    </row>
    <row r="404">
      <c r="C404" s="42" t="n"/>
      <c r="D404" s="40" t="n"/>
    </row>
    <row r="405">
      <c r="C405" s="42" t="n"/>
      <c r="D405" s="40" t="n"/>
    </row>
    <row r="406">
      <c r="C406" s="42" t="n"/>
      <c r="D406" s="40" t="n"/>
    </row>
    <row r="407">
      <c r="C407" s="42" t="n"/>
      <c r="D407" s="40" t="n"/>
    </row>
    <row r="408">
      <c r="C408" s="42" t="n"/>
      <c r="D408" s="40" t="n"/>
    </row>
    <row r="409">
      <c r="C409" s="42" t="n"/>
      <c r="D409" s="40" t="n"/>
    </row>
    <row r="410">
      <c r="C410" s="42" t="n"/>
      <c r="D410" s="40" t="n"/>
    </row>
    <row r="411">
      <c r="C411" s="42" t="n"/>
      <c r="D411" s="40" t="n"/>
    </row>
    <row r="412">
      <c r="C412" s="42" t="n"/>
      <c r="D412" s="40" t="n"/>
    </row>
    <row r="413">
      <c r="C413" s="42" t="n"/>
      <c r="D413" s="40" t="n"/>
    </row>
    <row r="414">
      <c r="C414" s="42" t="n"/>
      <c r="D414" s="40" t="n"/>
    </row>
    <row r="415">
      <c r="C415" s="42" t="n"/>
      <c r="D415" s="40" t="n"/>
    </row>
    <row r="416">
      <c r="C416" s="42" t="n"/>
      <c r="D416" s="40" t="n"/>
    </row>
    <row r="417">
      <c r="C417" s="42" t="n"/>
      <c r="D417" s="40" t="n"/>
    </row>
    <row r="418">
      <c r="C418" s="42" t="n"/>
      <c r="D418" s="40" t="n"/>
    </row>
    <row r="419">
      <c r="C419" s="42" t="n"/>
      <c r="D419" s="40" t="n"/>
    </row>
    <row r="420">
      <c r="C420" s="42" t="n"/>
      <c r="D420" s="40" t="n"/>
    </row>
    <row r="421">
      <c r="C421" s="42" t="n"/>
      <c r="D421" s="40" t="n"/>
    </row>
    <row r="422">
      <c r="C422" s="42" t="n"/>
      <c r="D422" s="40" t="n"/>
    </row>
    <row r="423">
      <c r="C423" s="42" t="n"/>
      <c r="D423" s="40" t="n"/>
    </row>
    <row r="424">
      <c r="C424" s="42" t="n"/>
      <c r="D424" s="40" t="n"/>
    </row>
    <row r="425">
      <c r="C425" s="42" t="n"/>
      <c r="D425" s="40" t="n"/>
    </row>
    <row r="426">
      <c r="C426" s="42" t="n"/>
      <c r="D426" s="40" t="n"/>
    </row>
    <row r="427">
      <c r="C427" s="42" t="n"/>
      <c r="D427" s="40" t="n"/>
    </row>
    <row r="428">
      <c r="C428" s="42" t="n"/>
      <c r="D428" s="40" t="n"/>
    </row>
    <row r="429">
      <c r="C429" s="42" t="n"/>
      <c r="D429" s="40" t="n"/>
    </row>
    <row r="430">
      <c r="C430" s="42" t="n"/>
      <c r="D430" s="40" t="n"/>
    </row>
    <row r="431">
      <c r="C431" s="42" t="n"/>
      <c r="D431" s="40" t="n"/>
    </row>
    <row r="432">
      <c r="C432" s="42" t="n"/>
      <c r="D432" s="40" t="n"/>
    </row>
    <row r="433">
      <c r="C433" s="42" t="n"/>
      <c r="D433" s="40" t="n"/>
    </row>
    <row r="434">
      <c r="C434" s="42" t="n"/>
      <c r="D434" s="40" t="n"/>
    </row>
    <row r="435">
      <c r="C435" s="42" t="n"/>
      <c r="D435" s="40" t="n"/>
    </row>
    <row r="436">
      <c r="C436" s="42" t="n"/>
      <c r="D436" s="40" t="n"/>
    </row>
    <row r="437">
      <c r="C437" s="42" t="n"/>
      <c r="D437" s="40" t="n"/>
    </row>
    <row r="438">
      <c r="C438" s="42" t="n"/>
      <c r="D438" s="40" t="n"/>
    </row>
    <row r="439">
      <c r="C439" s="42" t="n"/>
      <c r="D439" s="40" t="n"/>
    </row>
    <row r="440">
      <c r="C440" s="42" t="n"/>
      <c r="D440" s="40" t="n"/>
    </row>
    <row r="441">
      <c r="C441" s="42" t="n"/>
      <c r="D441" s="40" t="n"/>
    </row>
    <row r="442">
      <c r="C442" s="42" t="n"/>
      <c r="D442" s="40" t="n"/>
    </row>
    <row r="443">
      <c r="C443" s="42" t="n"/>
      <c r="D443" s="40" t="n"/>
    </row>
    <row r="444">
      <c r="C444" s="42" t="n"/>
      <c r="D444" s="40" t="n"/>
    </row>
    <row r="445">
      <c r="C445" s="42" t="n"/>
      <c r="D445" s="40" t="n"/>
    </row>
    <row r="446">
      <c r="C446" s="42" t="n"/>
      <c r="D446" s="40" t="n"/>
    </row>
    <row r="447">
      <c r="C447" s="42" t="n"/>
      <c r="D447" s="40" t="n"/>
    </row>
    <row r="448">
      <c r="C448" s="42" t="n"/>
      <c r="D448" s="40" t="n"/>
    </row>
    <row r="449">
      <c r="C449" s="42" t="n"/>
      <c r="D449" s="40" t="n"/>
    </row>
    <row r="450">
      <c r="C450" s="42" t="n"/>
      <c r="D450" s="40" t="n"/>
    </row>
    <row r="451">
      <c r="C451" s="42" t="n"/>
      <c r="D451" s="40" t="n"/>
    </row>
    <row r="452">
      <c r="C452" s="42" t="n"/>
      <c r="D452" s="40" t="n"/>
    </row>
    <row r="453">
      <c r="C453" s="42" t="n"/>
      <c r="D453" s="40" t="n"/>
    </row>
    <row r="454">
      <c r="C454" s="42" t="n"/>
      <c r="D454" s="40" t="n"/>
    </row>
    <row r="455">
      <c r="C455" s="42" t="n"/>
      <c r="D455" s="40" t="n"/>
    </row>
    <row r="456">
      <c r="C456" s="42" t="n"/>
      <c r="D456" s="40" t="n"/>
    </row>
    <row r="457">
      <c r="C457" s="42" t="n"/>
      <c r="D457" s="40" t="n"/>
    </row>
    <row r="458">
      <c r="C458" s="42" t="n"/>
      <c r="D458" s="40" t="n"/>
    </row>
    <row r="459">
      <c r="C459" s="42" t="n"/>
      <c r="D459" s="40" t="n"/>
    </row>
    <row r="460">
      <c r="C460" s="42" t="n"/>
      <c r="D460" s="40" t="n"/>
    </row>
    <row r="461">
      <c r="C461" s="42" t="n"/>
      <c r="D461" s="40" t="n"/>
    </row>
    <row r="462">
      <c r="C462" s="42" t="n"/>
      <c r="D462" s="40" t="n"/>
    </row>
    <row r="463">
      <c r="C463" s="42" t="n"/>
      <c r="D463" s="40" t="n"/>
    </row>
    <row r="464">
      <c r="C464" s="42" t="n"/>
      <c r="D464" s="40" t="n"/>
    </row>
    <row r="465">
      <c r="C465" s="42" t="n"/>
      <c r="D465" s="40" t="n"/>
    </row>
    <row r="466">
      <c r="C466" s="42" t="n"/>
      <c r="D466" s="40" t="n"/>
    </row>
    <row r="467">
      <c r="C467" s="42" t="n"/>
      <c r="D467" s="40" t="n"/>
    </row>
    <row r="468">
      <c r="C468" s="42" t="n"/>
      <c r="D468" s="40" t="n"/>
    </row>
    <row r="469">
      <c r="C469" s="42" t="n"/>
      <c r="D469" s="40" t="n"/>
    </row>
    <row r="470">
      <c r="C470" s="42" t="n"/>
      <c r="D470" s="40" t="n"/>
    </row>
    <row r="471">
      <c r="C471" s="42" t="n"/>
      <c r="D471" s="40" t="n"/>
    </row>
    <row r="472">
      <c r="C472" s="42" t="n"/>
      <c r="D472" s="40" t="n"/>
    </row>
    <row r="473">
      <c r="C473" s="42" t="n"/>
      <c r="D473" s="40" t="n"/>
    </row>
    <row r="474">
      <c r="C474" s="42" t="n"/>
      <c r="D474" s="40" t="n"/>
    </row>
    <row r="475">
      <c r="C475" s="42" t="n"/>
      <c r="D475" s="40" t="n"/>
    </row>
    <row r="476">
      <c r="C476" s="42" t="n"/>
      <c r="D476" s="40" t="n"/>
    </row>
    <row r="477">
      <c r="C477" s="42" t="n"/>
      <c r="D477" s="40" t="n"/>
    </row>
    <row r="478">
      <c r="C478" s="42" t="n"/>
      <c r="D478" s="40" t="n"/>
    </row>
    <row r="479">
      <c r="C479" s="42" t="n"/>
      <c r="D479" s="40" t="n"/>
    </row>
    <row r="480">
      <c r="C480" s="42" t="n"/>
      <c r="D480" s="40" t="n"/>
    </row>
    <row r="481">
      <c r="C481" s="42" t="n"/>
      <c r="D481" s="40" t="n"/>
    </row>
    <row r="482">
      <c r="C482" s="42" t="n"/>
      <c r="D482" s="40" t="n"/>
    </row>
    <row r="483">
      <c r="C483" s="42" t="n"/>
      <c r="D483" s="40" t="n"/>
    </row>
    <row r="484">
      <c r="C484" s="42" t="n"/>
      <c r="D484" s="40" t="n"/>
    </row>
    <row r="485">
      <c r="C485" s="42" t="n"/>
      <c r="D485" s="40" t="n"/>
    </row>
    <row r="486">
      <c r="C486" s="42" t="n"/>
      <c r="D486" s="40" t="n"/>
    </row>
    <row r="487">
      <c r="C487" s="42" t="n"/>
      <c r="D487" s="40" t="n"/>
    </row>
    <row r="488">
      <c r="C488" s="42" t="n"/>
      <c r="D488" s="40" t="n"/>
    </row>
    <row r="489">
      <c r="C489" s="42" t="n"/>
      <c r="D489" s="40" t="n"/>
    </row>
    <row r="490">
      <c r="C490" s="42" t="n"/>
      <c r="D490" s="40" t="n"/>
    </row>
    <row r="491">
      <c r="C491" s="42" t="n"/>
      <c r="D491" s="40" t="n"/>
    </row>
    <row r="492">
      <c r="C492" s="42" t="n"/>
      <c r="D492" s="40" t="n"/>
    </row>
    <row r="493">
      <c r="C493" s="42" t="n"/>
      <c r="D493" s="40" t="n"/>
    </row>
    <row r="494">
      <c r="C494" s="42" t="n"/>
      <c r="D494" s="40" t="n"/>
    </row>
    <row r="495">
      <c r="C495" s="42" t="n"/>
      <c r="D495" s="40" t="n"/>
    </row>
    <row r="496">
      <c r="C496" s="42" t="n"/>
      <c r="D496" s="40" t="n"/>
    </row>
    <row r="497">
      <c r="C497" s="42" t="n"/>
      <c r="D497" s="40" t="n"/>
    </row>
    <row r="498">
      <c r="C498" s="42" t="n"/>
      <c r="D498" s="40" t="n"/>
    </row>
    <row r="499">
      <c r="C499" s="42" t="n"/>
      <c r="D499" s="40" t="n"/>
    </row>
    <row r="500">
      <c r="C500" s="42" t="n"/>
      <c r="D500" s="40" t="n"/>
    </row>
    <row r="501">
      <c r="C501" s="42" t="n"/>
      <c r="D501" s="40" t="n"/>
    </row>
  </sheetData>
  <mergeCells count="2">
    <mergeCell ref="A1:D1"/>
    <mergeCell ref="F1:G1"/>
  </mergeCells>
  <pageMargins bottom="0.75" footer="0.3" header="0.3" left="0.7" right="0.7" top="0.75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>
  <sheetPr codeName="Sheet19">
    <tabColor rgb="FF0070C0"/>
    <outlinePr summaryBelow="1" summaryRight="1"/>
    <pageSetUpPr/>
  </sheetPr>
  <dimension ref="A1:D11"/>
  <sheetViews>
    <sheetView tabSelected="1" workbookViewId="0">
      <selection activeCell="G12" sqref="G12"/>
    </sheetView>
  </sheetViews>
  <sheetFormatPr baseColWidth="8" defaultRowHeight="15"/>
  <cols>
    <col customWidth="1" max="1" min="1" style="70" width="14.28515625"/>
    <col customWidth="1" max="2" min="2" style="70" width="17.140625"/>
    <col customWidth="1" max="3" min="3" style="70" width="15.85546875"/>
    <col customWidth="1" max="4" min="4" style="70" width="11.42578125"/>
  </cols>
  <sheetData>
    <row customHeight="1" ht="37.5" r="1" s="70">
      <c r="A1" s="75" t="inlineStr">
        <is>
          <t>System Adminstrator</t>
        </is>
      </c>
    </row>
    <row r="2">
      <c r="A2" s="63" t="inlineStr">
        <is>
          <t>Role</t>
        </is>
      </c>
      <c r="B2" s="63" t="inlineStr">
        <is>
          <t>User name</t>
        </is>
      </c>
      <c r="C2" s="63" t="inlineStr">
        <is>
          <t>Password</t>
        </is>
      </c>
      <c r="D2" s="64" t="inlineStr">
        <is>
          <t>Activation</t>
        </is>
      </c>
    </row>
    <row r="3">
      <c r="A3" s="63" t="inlineStr">
        <is>
          <t>AAU Admin</t>
        </is>
      </c>
      <c r="B3" s="63" t="inlineStr">
        <is>
          <t>aauadmin</t>
        </is>
      </c>
      <c r="C3" s="65" t="n">
        <v>123456</v>
      </c>
      <c r="D3" s="64" t="inlineStr">
        <is>
          <t>Activate</t>
        </is>
      </c>
    </row>
    <row r="4">
      <c r="A4" s="63" t="inlineStr">
        <is>
          <t>AAiT Admin</t>
        </is>
      </c>
      <c r="B4" s="63" t="inlineStr">
        <is>
          <t>aaitadmin</t>
        </is>
      </c>
      <c r="C4" s="65" t="n">
        <v>123456</v>
      </c>
      <c r="D4" s="64" t="inlineStr">
        <is>
          <t>Activate</t>
        </is>
      </c>
    </row>
    <row r="5">
      <c r="A5" s="64" t="inlineStr">
        <is>
          <t>Chemical</t>
        </is>
      </c>
      <c r="B5" s="64" t="inlineStr">
        <is>
          <t>chemical</t>
        </is>
      </c>
      <c r="C5" s="65" t="n">
        <v>12345</v>
      </c>
      <c r="D5" s="64" t="inlineStr">
        <is>
          <t>Activate</t>
        </is>
      </c>
    </row>
    <row r="6">
      <c r="A6" s="64" t="inlineStr">
        <is>
          <t>Civil</t>
        </is>
      </c>
      <c r="B6" s="64" t="inlineStr">
        <is>
          <t>civil</t>
        </is>
      </c>
      <c r="C6" s="65" t="n">
        <v>123456</v>
      </c>
      <c r="D6" s="64" t="inlineStr">
        <is>
          <t>Activate</t>
        </is>
      </c>
    </row>
    <row r="7">
      <c r="A7" s="64" t="inlineStr">
        <is>
          <t>Electrical</t>
        </is>
      </c>
      <c r="B7" s="64" t="inlineStr">
        <is>
          <t>electrical</t>
        </is>
      </c>
      <c r="C7" s="65" t="n">
        <v>123456</v>
      </c>
      <c r="D7" s="64" t="inlineStr">
        <is>
          <t>Activate</t>
        </is>
      </c>
    </row>
    <row r="8">
      <c r="A8" s="64" t="inlineStr">
        <is>
          <t>ITSC</t>
        </is>
      </c>
      <c r="B8" s="64" t="inlineStr">
        <is>
          <t>itsc</t>
        </is>
      </c>
      <c r="C8" s="65" t="n">
        <v>123456</v>
      </c>
      <c r="D8" s="64" t="inlineStr">
        <is>
          <t>Activate</t>
        </is>
      </c>
    </row>
    <row r="9">
      <c r="A9" s="64" t="inlineStr">
        <is>
          <t>Mechanical</t>
        </is>
      </c>
      <c r="B9" s="64" t="inlineStr">
        <is>
          <t>mechanical</t>
        </is>
      </c>
      <c r="C9" s="65" t="n">
        <v>123456</v>
      </c>
      <c r="D9" s="64" t="inlineStr">
        <is>
          <t>Activate</t>
        </is>
      </c>
    </row>
    <row r="10">
      <c r="A10" s="64" t="inlineStr">
        <is>
          <t>ICT</t>
        </is>
      </c>
      <c r="B10" s="64" t="inlineStr">
        <is>
          <t>IT</t>
        </is>
      </c>
      <c r="C10" s="64" t="n">
        <v>123456</v>
      </c>
      <c r="D10" s="64" t="inlineStr">
        <is>
          <t>Activate</t>
        </is>
      </c>
    </row>
    <row r="11">
      <c r="A11" t="inlineStr">
        <is>
          <t>ITSC</t>
        </is>
      </c>
      <c r="B11" t="inlineStr">
        <is>
          <t>kidus</t>
        </is>
      </c>
      <c r="C11" t="n">
        <v>123456</v>
      </c>
      <c r="D11" t="inlineStr">
        <is>
          <t>Activate</t>
        </is>
      </c>
    </row>
  </sheetData>
  <mergeCells count="1">
    <mergeCell ref="A1:D1"/>
  </mergeCells>
  <pageMargins bottom="0.75" footer="0.3" header="0.3" left="0.7" right="0.7" top="0.75"/>
  <pageSetup orientation="portrait"/>
</worksheet>
</file>

<file path=xl/worksheets/sheet18.xml><?xml version="1.0" encoding="utf-8"?>
<worksheet xmlns="http://schemas.openxmlformats.org/spreadsheetml/2006/main">
  <sheetPr codeName="Sheet10">
    <tabColor theme="4" tint="0.3999755851924192"/>
    <outlinePr summaryBelow="1" summaryRight="1"/>
    <pageSetUpPr/>
  </sheetPr>
  <dimension ref="A1:C20"/>
  <sheetViews>
    <sheetView showGridLines="0" workbookViewId="0">
      <selection activeCell="F9" sqref="F9"/>
    </sheetView>
  </sheetViews>
  <sheetFormatPr baseColWidth="8" defaultRowHeight="15"/>
  <cols>
    <col customWidth="1" max="2" min="1" style="70" width="20"/>
    <col customWidth="1" max="3" min="3" style="70" width="30"/>
  </cols>
  <sheetData>
    <row customHeight="1" ht="37.5" r="1" s="70">
      <c r="A1" s="86" t="inlineStr">
        <is>
          <t>Budget Code Descriptions</t>
        </is>
      </c>
    </row>
    <row customHeight="1" ht="30" r="2" s="70">
      <c r="A2" s="87" t="inlineStr">
        <is>
          <t>Budget Code</t>
        </is>
      </c>
      <c r="B2" s="87" t="inlineStr">
        <is>
          <t>Descriptions</t>
        </is>
      </c>
      <c r="C2" s="85" t="n"/>
    </row>
    <row r="3">
      <c r="A3" s="87" t="n">
        <v>6111</v>
      </c>
      <c r="B3" s="84" t="inlineStr">
        <is>
          <t>Salaries to permanent staff</t>
        </is>
      </c>
      <c r="C3" s="85" t="n"/>
    </row>
    <row r="4">
      <c r="A4" s="1" t="n">
        <v>6113</v>
      </c>
      <c r="B4" s="84" t="inlineStr">
        <is>
          <t>Wages to contrat staff</t>
        </is>
      </c>
      <c r="C4" s="85" t="n"/>
    </row>
    <row r="5">
      <c r="A5" s="1" t="n">
        <v>6114</v>
      </c>
      <c r="B5" s="84" t="inlineStr">
        <is>
          <t>Wages to casual staff</t>
        </is>
      </c>
      <c r="C5" s="85" t="n"/>
    </row>
    <row r="6">
      <c r="A6" s="1" t="n">
        <v>6115</v>
      </c>
      <c r="B6" s="84" t="inlineStr">
        <is>
          <t>Wages to External Staff</t>
        </is>
      </c>
      <c r="C6" s="85" t="n"/>
    </row>
    <row r="7">
      <c r="A7" s="1" t="n">
        <v>6121</v>
      </c>
      <c r="B7" s="84" t="inlineStr">
        <is>
          <t>Allowance to Permanent Staff</t>
        </is>
      </c>
      <c r="C7" s="85" t="n"/>
    </row>
    <row r="8">
      <c r="A8" s="1" t="n">
        <v>6124</v>
      </c>
      <c r="B8" s="84" t="inlineStr">
        <is>
          <t>Allowance to External Staff</t>
        </is>
      </c>
      <c r="C8" s="85" t="n"/>
    </row>
    <row r="9">
      <c r="A9" s="1" t="n">
        <v>6211</v>
      </c>
      <c r="B9" s="84" t="inlineStr">
        <is>
          <t>Uniforms, Clothing &amp; Bedding</t>
        </is>
      </c>
      <c r="C9" s="85" t="n"/>
    </row>
    <row r="10">
      <c r="A10" s="1" t="n">
        <v>6212</v>
      </c>
      <c r="B10" s="84" t="inlineStr">
        <is>
          <t>Office Supplies</t>
        </is>
      </c>
      <c r="C10" s="85" t="n"/>
    </row>
    <row r="11">
      <c r="A11" s="1" t="n">
        <v>6218</v>
      </c>
      <c r="B11" s="84" t="inlineStr">
        <is>
          <t>Other Material and Supplies</t>
        </is>
      </c>
      <c r="C11" s="85" t="n"/>
    </row>
    <row r="12">
      <c r="A12" s="1" t="n">
        <v>6219</v>
      </c>
      <c r="B12" s="84" t="inlineStr">
        <is>
          <t>Miscellaneous Equipment</t>
        </is>
      </c>
      <c r="C12" s="85" t="n"/>
    </row>
    <row r="13">
      <c r="A13" s="1" t="n">
        <v>6233</v>
      </c>
      <c r="B13" s="84" t="inlineStr">
        <is>
          <t>Official Entertainment</t>
        </is>
      </c>
      <c r="C13" s="84" t="n"/>
    </row>
    <row r="14">
      <c r="A14" s="1" t="n">
        <v>6240</v>
      </c>
      <c r="B14" s="84" t="inlineStr">
        <is>
          <t>Maintenance and Repair service</t>
        </is>
      </c>
      <c r="C14" s="85" t="n"/>
    </row>
    <row r="15">
      <c r="A15" s="1" t="n">
        <v>6241</v>
      </c>
      <c r="B15" s="84" t="inlineStr">
        <is>
          <t xml:space="preserve">Maintenance &amp; Repair of Vehicles &amp; other </t>
        </is>
      </c>
      <c r="C15" s="85" t="n"/>
    </row>
    <row r="16">
      <c r="A16" s="1" t="n">
        <v>6244</v>
      </c>
      <c r="B16" s="84" t="inlineStr">
        <is>
          <t xml:space="preserve">Maintenance &amp; Repair of Plant, Machinery &amp; Equipment </t>
        </is>
      </c>
      <c r="C16" s="85" t="n"/>
    </row>
    <row r="17">
      <c r="A17" s="1" t="n">
        <v>6253</v>
      </c>
      <c r="B17" s="84" t="inlineStr">
        <is>
          <t>Advertising</t>
        </is>
      </c>
      <c r="C17" s="85" t="n"/>
    </row>
    <row r="18">
      <c r="A18" s="1" t="n">
        <v>6256</v>
      </c>
      <c r="B18" s="84" t="inlineStr">
        <is>
          <t>Fees and Charges</t>
        </is>
      </c>
      <c r="C18" s="85" t="n"/>
    </row>
    <row r="19">
      <c r="A19" s="1" t="n">
        <v>6258</v>
      </c>
      <c r="B19" s="84" t="inlineStr">
        <is>
          <t>Telecommunication Charges</t>
        </is>
      </c>
      <c r="C19" s="85" t="n"/>
    </row>
    <row r="20">
      <c r="A20" s="1" t="n">
        <v>6271</v>
      </c>
      <c r="B20" s="84" t="inlineStr">
        <is>
          <t>Local Training</t>
        </is>
      </c>
      <c r="C20" s="85" t="n"/>
    </row>
  </sheetData>
  <mergeCells count="19">
    <mergeCell ref="B20:C20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B19:C19"/>
    <mergeCell ref="B6:C6"/>
    <mergeCell ref="B7:C7"/>
    <mergeCell ref="A1:C1"/>
    <mergeCell ref="B2:C2"/>
    <mergeCell ref="B3:C3"/>
    <mergeCell ref="B4:C4"/>
    <mergeCell ref="B5:C5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Toshiba</dc:creator>
  <dcterms:created xsi:type="dcterms:W3CDTF">2019-07-08T12:55:01Z</dcterms:created>
  <dcterms:modified xsi:type="dcterms:W3CDTF">2019-07-20T09:03:49Z</dcterms:modified>
  <cp:lastModifiedBy>Toshiba</cp:lastModifiedBy>
  <cp:lastPrinted>2019-07-17T12:38:06Z</cp:lastPrinted>
</cp:coreProperties>
</file>